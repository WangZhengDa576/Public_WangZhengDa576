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743" documentId="11_0B1D56BE9CDCCE836B02CE7A5FB0D4A9BBFD1C62" xr6:coauthVersionLast="47" xr6:coauthVersionMax="47" xr10:uidLastSave="{2BB4B6AF-723F-41F1-B8E7-E8D0F5036594}"/>
  <bookViews>
    <workbookView xWindow="240" yWindow="105" windowWidth="14805" windowHeight="8010" xr2:uid="{00000000-000D-0000-FFFF-FFFF00000000}"/>
  </bookViews>
  <sheets>
    <sheet name="Complied data and products (2)" sheetId="3" r:id="rId1"/>
    <sheet name="Complied data and products" sheetId="1" r:id="rId2"/>
    <sheet name="for val to play w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3" l="1"/>
  <c r="D46" i="3"/>
  <c r="D45" i="3"/>
  <c r="D44" i="3"/>
  <c r="D43" i="3"/>
  <c r="Q38" i="3"/>
  <c r="P38" i="3"/>
  <c r="O38" i="3"/>
  <c r="N38" i="3"/>
  <c r="M38" i="3"/>
  <c r="Q37" i="3"/>
  <c r="P37" i="3"/>
  <c r="O37" i="3"/>
  <c r="N37" i="3"/>
  <c r="M37" i="3"/>
  <c r="Q36" i="3"/>
  <c r="P36" i="3"/>
  <c r="O36" i="3"/>
  <c r="N36" i="3"/>
  <c r="M36" i="3"/>
  <c r="Q35" i="3"/>
  <c r="P35" i="3"/>
  <c r="O35" i="3"/>
  <c r="N35" i="3"/>
  <c r="M35" i="3"/>
  <c r="Q34" i="3"/>
  <c r="P34" i="3"/>
  <c r="O34" i="3"/>
  <c r="N34" i="3"/>
  <c r="M34" i="3"/>
  <c r="Q33" i="3"/>
  <c r="P33" i="3"/>
  <c r="O33" i="3"/>
  <c r="N33" i="3"/>
  <c r="M33" i="3"/>
  <c r="Q32" i="3"/>
  <c r="P32" i="3"/>
  <c r="O32" i="3"/>
  <c r="N32" i="3"/>
  <c r="M32" i="3"/>
  <c r="Q31" i="3"/>
  <c r="P31" i="3"/>
  <c r="O31" i="3"/>
  <c r="N31" i="3"/>
  <c r="M31" i="3"/>
  <c r="Q30" i="3"/>
  <c r="P30" i="3"/>
  <c r="O30" i="3"/>
  <c r="N30" i="3"/>
  <c r="M30" i="3"/>
  <c r="Q29" i="3"/>
  <c r="P29" i="3"/>
  <c r="O29" i="3"/>
  <c r="N29" i="3"/>
  <c r="M29" i="3"/>
  <c r="Q28" i="3"/>
  <c r="P28" i="3"/>
  <c r="O28" i="3"/>
  <c r="N28" i="3"/>
  <c r="M28" i="3"/>
  <c r="Q26" i="3"/>
  <c r="P26" i="3"/>
  <c r="O26" i="3"/>
  <c r="N26" i="3"/>
  <c r="M26" i="3"/>
  <c r="Q25" i="3"/>
  <c r="P25" i="3"/>
  <c r="O25" i="3"/>
  <c r="N25" i="3"/>
  <c r="M25" i="3"/>
  <c r="Q24" i="3"/>
  <c r="P24" i="3"/>
  <c r="O24" i="3"/>
  <c r="N24" i="3"/>
  <c r="M24" i="3"/>
  <c r="Q23" i="3"/>
  <c r="P23" i="3"/>
  <c r="O23" i="3"/>
  <c r="N23" i="3"/>
  <c r="M23" i="3"/>
  <c r="Q22" i="3"/>
  <c r="P22" i="3"/>
  <c r="O22" i="3"/>
  <c r="N22" i="3"/>
  <c r="M22" i="3"/>
  <c r="Q21" i="3"/>
  <c r="P21" i="3"/>
  <c r="O21" i="3"/>
  <c r="N21" i="3"/>
  <c r="M21" i="3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5" i="3"/>
  <c r="P15" i="3"/>
  <c r="O15" i="3"/>
  <c r="N15" i="3"/>
  <c r="M15" i="3"/>
  <c r="Q14" i="3"/>
  <c r="P14" i="3"/>
  <c r="O14" i="3"/>
  <c r="N14" i="3"/>
  <c r="M14" i="3"/>
  <c r="Q13" i="3"/>
  <c r="P13" i="3"/>
  <c r="O13" i="3"/>
  <c r="N13" i="3"/>
  <c r="M13" i="3"/>
  <c r="Q12" i="3"/>
  <c r="P12" i="3"/>
  <c r="O12" i="3"/>
  <c r="N12" i="3"/>
  <c r="M12" i="3"/>
  <c r="Q11" i="3"/>
  <c r="P11" i="3"/>
  <c r="O11" i="3"/>
  <c r="N11" i="3"/>
  <c r="M11" i="3"/>
  <c r="Q9" i="3"/>
  <c r="P9" i="3"/>
  <c r="O9" i="3"/>
  <c r="N9" i="3"/>
  <c r="M9" i="3"/>
  <c r="Q8" i="3"/>
  <c r="P8" i="3"/>
  <c r="O8" i="3"/>
  <c r="N8" i="3"/>
  <c r="M8" i="3"/>
  <c r="Q7" i="3"/>
  <c r="P7" i="3"/>
  <c r="O7" i="3"/>
  <c r="N7" i="3"/>
  <c r="M7" i="3"/>
  <c r="Q6" i="3"/>
  <c r="P6" i="3"/>
  <c r="O6" i="3"/>
  <c r="N6" i="3"/>
  <c r="M6" i="3"/>
  <c r="Q5" i="3"/>
  <c r="P5" i="3"/>
  <c r="O5" i="3"/>
  <c r="N5" i="3"/>
  <c r="M5" i="3"/>
  <c r="Q4" i="3"/>
  <c r="P4" i="3"/>
  <c r="O4" i="3"/>
  <c r="N4" i="3"/>
  <c r="M4" i="3"/>
  <c r="AQ47" i="2"/>
  <c r="AU50" i="2"/>
  <c r="AU51" i="2"/>
  <c r="AU52" i="2"/>
  <c r="AU53" i="2"/>
  <c r="AU49" i="2"/>
  <c r="E40" i="2"/>
  <c r="E41" i="2"/>
  <c r="E42" i="2"/>
  <c r="E43" i="2"/>
  <c r="E44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D41" i="1"/>
  <c r="D40" i="1"/>
  <c r="D42" i="1"/>
  <c r="D43" i="1"/>
  <c r="D44" i="1"/>
  <c r="O3" i="1"/>
  <c r="O4" i="1"/>
  <c r="O5" i="1"/>
  <c r="O6" i="1"/>
  <c r="O7" i="1"/>
  <c r="O8" i="1"/>
  <c r="O10" i="1"/>
  <c r="O11" i="1"/>
  <c r="O12" i="1"/>
  <c r="O13" i="1"/>
  <c r="O14" i="1"/>
  <c r="O15" i="1"/>
  <c r="O16" i="1"/>
  <c r="O17" i="1"/>
  <c r="O18" i="1"/>
  <c r="O20" i="1"/>
  <c r="O21" i="1"/>
  <c r="O22" i="1"/>
  <c r="O23" i="1"/>
  <c r="O24" i="1"/>
  <c r="O25" i="1"/>
  <c r="O27" i="1"/>
  <c r="O28" i="1"/>
  <c r="O29" i="1"/>
  <c r="O30" i="1"/>
  <c r="O31" i="1"/>
  <c r="O32" i="1"/>
  <c r="O33" i="1"/>
  <c r="O34" i="1"/>
  <c r="O35" i="1"/>
  <c r="O36" i="1"/>
  <c r="O37" i="1"/>
  <c r="K16" i="1"/>
  <c r="L16" i="1"/>
  <c r="M16" i="1"/>
  <c r="N16" i="1"/>
  <c r="K17" i="1"/>
  <c r="L17" i="1"/>
  <c r="M17" i="1"/>
  <c r="N17" i="1"/>
  <c r="K18" i="1"/>
  <c r="L18" i="1"/>
  <c r="M18" i="1"/>
  <c r="N18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K4" i="1"/>
  <c r="K5" i="1"/>
  <c r="K6" i="1"/>
  <c r="K7" i="1"/>
  <c r="K8" i="1"/>
  <c r="K10" i="1"/>
  <c r="K11" i="1"/>
  <c r="K12" i="1"/>
  <c r="K13" i="1"/>
  <c r="K14" i="1"/>
  <c r="K15" i="1"/>
  <c r="K3" i="1"/>
</calcChain>
</file>

<file path=xl/sharedStrings.xml><?xml version="1.0" encoding="utf-8"?>
<sst xmlns="http://schemas.openxmlformats.org/spreadsheetml/2006/main" count="297" uniqueCount="131">
  <si>
    <t>Table 1.1 Full information on chosen types of items</t>
  </si>
  <si>
    <t>TYPE</t>
  </si>
  <si>
    <t>Item</t>
  </si>
  <si>
    <t>Weight (Fairprice) (g)</t>
  </si>
  <si>
    <t>Cost ($)</t>
  </si>
  <si>
    <t xml:space="preserve">Variable (x) </t>
  </si>
  <si>
    <t>Variable (g, v, d, p)</t>
  </si>
  <si>
    <t>Nutrient (From table data)</t>
  </si>
  <si>
    <t>Nutrient (in actual)</t>
  </si>
  <si>
    <t>Carbohydrates</t>
  </si>
  <si>
    <t>Protein</t>
  </si>
  <si>
    <t>Total Fats</t>
  </si>
  <si>
    <t>Fibre</t>
  </si>
  <si>
    <t>Vitamin A (in IU)</t>
  </si>
  <si>
    <t>Weight</t>
  </si>
  <si>
    <t>Vitamin A (in μg)</t>
  </si>
  <si>
    <t xml:space="preserve">Grain </t>
  </si>
  <si>
    <t>Naturel Organic Rice - Brown</t>
  </si>
  <si>
    <t>x1</t>
  </si>
  <si>
    <t>g1</t>
  </si>
  <si>
    <t>San Remo Pasta - Spaghetti</t>
  </si>
  <si>
    <t>x2</t>
  </si>
  <si>
    <t>g2</t>
  </si>
  <si>
    <t>FairPrice Fresh Udon Valuepack</t>
  </si>
  <si>
    <t>x3</t>
  </si>
  <si>
    <t>g3</t>
  </si>
  <si>
    <t>FairPrice Frozen Roti Prata</t>
  </si>
  <si>
    <t>x4</t>
  </si>
  <si>
    <t>g4</t>
  </si>
  <si>
    <t>Upgrain Pita Bread, Pack of 4</t>
  </si>
  <si>
    <t>x5</t>
  </si>
  <si>
    <t>g5</t>
  </si>
  <si>
    <t>Fairprice Wraps - Wholemeal</t>
  </si>
  <si>
    <t>x6</t>
  </si>
  <si>
    <t>g6</t>
  </si>
  <si>
    <t>Vegetables</t>
  </si>
  <si>
    <t>x7</t>
  </si>
  <si>
    <t>v1</t>
  </si>
  <si>
    <t>Simply Finest Xiao Bai Cai</t>
  </si>
  <si>
    <t>x8</t>
  </si>
  <si>
    <t>v2</t>
  </si>
  <si>
    <t>Pasar Prepacked Carrots</t>
  </si>
  <si>
    <t>x9</t>
  </si>
  <si>
    <t>v3</t>
  </si>
  <si>
    <t>Orgo Fresh Fresh Broccoli</t>
  </si>
  <si>
    <t>x10</t>
  </si>
  <si>
    <t>v4</t>
  </si>
  <si>
    <t>Watties Frozen Sweet Corn</t>
  </si>
  <si>
    <t>x11</t>
  </si>
  <si>
    <t>v5</t>
  </si>
  <si>
    <t>Smart Knife Fresh Cauliflower</t>
  </si>
  <si>
    <t>x12</t>
  </si>
  <si>
    <t>v6</t>
  </si>
  <si>
    <t>Pasar Asparagus Fine</t>
  </si>
  <si>
    <t>x13</t>
  </si>
  <si>
    <t>v7</t>
  </si>
  <si>
    <t>Gold Beijing Cabbage</t>
  </si>
  <si>
    <t>x14</t>
  </si>
  <si>
    <t>v8</t>
  </si>
  <si>
    <t>Yuan Zhen Yuan Iceberg Lettuce</t>
  </si>
  <si>
    <t>x15</t>
  </si>
  <si>
    <t>v9</t>
  </si>
  <si>
    <t>Dairy</t>
  </si>
  <si>
    <t>Brownes Dairy Greek Yoghurt - Plain</t>
  </si>
  <si>
    <t>x16</t>
  </si>
  <si>
    <t>d1</t>
  </si>
  <si>
    <t>Farm Fresh Pure Fresh Milk</t>
  </si>
  <si>
    <t>x17</t>
  </si>
  <si>
    <t>d2</t>
  </si>
  <si>
    <t>F&amp;N Magnolia Fresh Milk</t>
  </si>
  <si>
    <t>x18</t>
  </si>
  <si>
    <t>d3</t>
  </si>
  <si>
    <t>Philadelphia Cream Cheese - Light</t>
  </si>
  <si>
    <t>x19</t>
  </si>
  <si>
    <t>d4</t>
  </si>
  <si>
    <t>Pasar Fresh Eggs</t>
  </si>
  <si>
    <t>x20</t>
  </si>
  <si>
    <t>d5</t>
  </si>
  <si>
    <t>x21</t>
  </si>
  <si>
    <t>d6</t>
  </si>
  <si>
    <t>FarmFresh Whole Chicken - Large</t>
  </si>
  <si>
    <t>x22</t>
  </si>
  <si>
    <t>p1</t>
  </si>
  <si>
    <t>chicken, pork, fish</t>
  </si>
  <si>
    <t>FarmFresh Chicken Breast Boneless</t>
  </si>
  <si>
    <t>x23</t>
  </si>
  <si>
    <t>p2</t>
  </si>
  <si>
    <t>Aw's Market Whole Chicken Cut</t>
  </si>
  <si>
    <t>x24</t>
  </si>
  <si>
    <t>p3</t>
  </si>
  <si>
    <t xml:space="preserve">Farmfresh Whole Chicken - Medium </t>
  </si>
  <si>
    <t>x25</t>
  </si>
  <si>
    <t>p4</t>
  </si>
  <si>
    <t>FarmFresh Chicken Fillet</t>
  </si>
  <si>
    <t>x26</t>
  </si>
  <si>
    <t>p5</t>
  </si>
  <si>
    <t>FarmFresh Chicken Thigh</t>
  </si>
  <si>
    <t>x27</t>
  </si>
  <si>
    <t>p6</t>
  </si>
  <si>
    <t>Aw's Market Fresh Australis Pork Belly</t>
  </si>
  <si>
    <t>x28</t>
  </si>
  <si>
    <t>p7</t>
  </si>
  <si>
    <t>Aw's Market Fresh Malaysian Pork Belly (Sliced)</t>
  </si>
  <si>
    <t>x29</t>
  </si>
  <si>
    <t>p8</t>
  </si>
  <si>
    <t>Aw's Market Fresh M'sian Pork Fillet Minced</t>
  </si>
  <si>
    <t>x30</t>
  </si>
  <si>
    <t>p9</t>
  </si>
  <si>
    <t>Aw's Market Fresh Australia Pork Loin Boneless</t>
  </si>
  <si>
    <t>x31</t>
  </si>
  <si>
    <t>p10</t>
  </si>
  <si>
    <t>Serve by Hai Sia Atlantic Salmon Portion - Fresh</t>
  </si>
  <si>
    <t>x32</t>
  </si>
  <si>
    <t>p11</t>
  </si>
  <si>
    <t>Table 1.2 Daily and weekly nutrient intake</t>
  </si>
  <si>
    <t>Table 1.3 b values (Weekly values from Table 1.2)</t>
  </si>
  <si>
    <t>Daily values</t>
  </si>
  <si>
    <t>Weekly (7 days)</t>
  </si>
  <si>
    <t>Small b values</t>
  </si>
  <si>
    <t>Carbohydrate</t>
  </si>
  <si>
    <t>Fats</t>
  </si>
  <si>
    <t>Vitamin A</t>
  </si>
  <si>
    <t>Table 1.4 Cost per unit of food item, cj</t>
  </si>
  <si>
    <t>Cost (cost coefficients)</t>
  </si>
  <si>
    <t xml:space="preserve">Table 1.5 "A" matrix </t>
  </si>
  <si>
    <t>Table 1.6 "A" matrix transposed</t>
  </si>
  <si>
    <t>A matrix</t>
  </si>
  <si>
    <t>(Transposed)</t>
  </si>
  <si>
    <t>Chef Chinese Spinach (Phuay Leng)</t>
  </si>
  <si>
    <t>A matrix (Intermediate step before final transposing)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</si>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</sst>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</font>
    <font>
      <b/>
      <sz val="12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64" fontId="2" fillId="0" borderId="0" xfId="0" applyNumberFormat="1" applyFont="1"/>
    <xf numFmtId="164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1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2" fontId="0" fillId="0" borderId="0" xfId="0" applyNumberFormat="1"/>
    <xf numFmtId="2" fontId="0" fillId="0" borderId="5" xfId="0" applyNumberFormat="1" applyBorder="1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2" fillId="0" borderId="13" xfId="0" applyFont="1" applyBorder="1"/>
    <xf numFmtId="0" fontId="0" fillId="0" borderId="13" xfId="0" applyBorder="1"/>
    <xf numFmtId="0" fontId="0" fillId="0" borderId="14" xfId="0" applyBorder="1"/>
    <xf numFmtId="164" fontId="0" fillId="0" borderId="2" xfId="0" applyNumberFormat="1" applyBorder="1"/>
    <xf numFmtId="0" fontId="0" fillId="0" borderId="3" xfId="0" applyBorder="1"/>
    <xf numFmtId="0" fontId="0" fillId="0" borderId="12" xfId="0" applyBorder="1"/>
    <xf numFmtId="0" fontId="1" fillId="0" borderId="5" xfId="0" applyFont="1" applyBorder="1" applyAlignment="1">
      <alignment horizontal="left" vertical="center"/>
    </xf>
    <xf numFmtId="0" fontId="4" fillId="0" borderId="1" xfId="0" applyFont="1" applyBorder="1"/>
    <xf numFmtId="0" fontId="5" fillId="0" borderId="0" xfId="0" applyFont="1"/>
    <xf numFmtId="0" fontId="4" fillId="0" borderId="15" xfId="0" applyFont="1" applyBorder="1"/>
    <xf numFmtId="0" fontId="0" fillId="0" borderId="15" xfId="0" applyBorder="1"/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164" fontId="2" fillId="0" borderId="0" xfId="0" applyNumberFormat="1" applyFont="1" applyBorder="1"/>
    <xf numFmtId="164" fontId="3" fillId="0" borderId="0" xfId="0" applyNumberFormat="1" applyFont="1" applyBorder="1"/>
    <xf numFmtId="164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164" fontId="0" fillId="0" borderId="7" xfId="0" applyNumberFormat="1" applyBorder="1"/>
    <xf numFmtId="164" fontId="1" fillId="0" borderId="12" xfId="0" applyNumberFormat="1" applyFont="1" applyBorder="1" applyAlignment="1">
      <alignment vertical="center"/>
    </xf>
    <xf numFmtId="164" fontId="0" fillId="0" borderId="10" xfId="0" applyNumberFormat="1" applyBorder="1"/>
    <xf numFmtId="164" fontId="0" fillId="0" borderId="11" xfId="0" applyNumberFormat="1" applyBorder="1"/>
    <xf numFmtId="164" fontId="1" fillId="0" borderId="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4" fillId="0" borderId="0" xfId="0" applyFont="1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24EC-6E85-47B0-ACB7-32C7730A86ED}">
  <sheetPr>
    <pageSetUpPr fitToPage="1"/>
  </sheetPr>
  <dimension ref="A1:AR94"/>
  <sheetViews>
    <sheetView tabSelected="1" workbookViewId="0">
      <selection activeCell="G25" sqref="G25"/>
    </sheetView>
  </sheetViews>
  <sheetFormatPr defaultRowHeight="15"/>
  <cols>
    <col min="1" max="1" width="13" customWidth="1"/>
    <col min="2" max="2" width="42.42578125" bestFit="1" customWidth="1"/>
    <col min="3" max="3" width="19.42578125" bestFit="1" customWidth="1"/>
    <col min="4" max="4" width="13.7109375" style="5" customWidth="1"/>
    <col min="5" max="5" width="11.28515625" style="5" customWidth="1"/>
    <col min="6" max="6" width="19.28515625" style="5" customWidth="1"/>
    <col min="7" max="7" width="15" customWidth="1"/>
    <col min="8" max="8" width="14.5703125" customWidth="1"/>
    <col min="10" max="10" width="20" customWidth="1"/>
    <col min="11" max="11" width="15" bestFit="1" customWidth="1"/>
    <col min="12" max="12" width="15.5703125" customWidth="1"/>
    <col min="13" max="13" width="14" bestFit="1" customWidth="1"/>
    <col min="16" max="16" width="7.140625" bestFit="1" customWidth="1"/>
    <col min="17" max="17" width="15.42578125" bestFit="1" customWidth="1"/>
    <col min="19" max="19" width="9.28515625" bestFit="1" customWidth="1"/>
  </cols>
  <sheetData>
    <row r="1" spans="1:18" ht="15.75">
      <c r="A1" s="35" t="s">
        <v>0</v>
      </c>
      <c r="B1" s="36"/>
      <c r="C1" s="36"/>
    </row>
    <row r="2" spans="1:18" s="1" customFormat="1">
      <c r="A2" s="38" t="s">
        <v>1</v>
      </c>
      <c r="B2" s="39" t="s">
        <v>2</v>
      </c>
      <c r="C2" s="39" t="s">
        <v>3</v>
      </c>
      <c r="D2" s="47" t="s">
        <v>4</v>
      </c>
      <c r="E2" s="63" t="s">
        <v>5</v>
      </c>
      <c r="F2" s="48" t="s">
        <v>6</v>
      </c>
      <c r="G2" s="39" t="s">
        <v>7</v>
      </c>
      <c r="H2" s="39"/>
      <c r="I2" s="39"/>
      <c r="J2" s="39"/>
      <c r="K2" s="39"/>
      <c r="L2" s="40"/>
      <c r="M2" s="39" t="s">
        <v>8</v>
      </c>
      <c r="N2" s="39"/>
      <c r="O2" s="39"/>
      <c r="P2" s="39"/>
      <c r="Q2" s="40"/>
      <c r="R2" s="2"/>
    </row>
    <row r="3" spans="1:18" s="1" customFormat="1">
      <c r="A3" s="49"/>
      <c r="B3" s="50"/>
      <c r="C3" s="50"/>
      <c r="D3" s="51"/>
      <c r="E3" s="64"/>
      <c r="F3" s="43"/>
      <c r="G3" s="52" t="s">
        <v>9</v>
      </c>
      <c r="H3" s="52" t="s">
        <v>10</v>
      </c>
      <c r="I3" s="52" t="s">
        <v>11</v>
      </c>
      <c r="J3" s="52" t="s">
        <v>12</v>
      </c>
      <c r="K3" s="52" t="s">
        <v>13</v>
      </c>
      <c r="L3" s="13" t="s">
        <v>14</v>
      </c>
      <c r="M3" s="52" t="s">
        <v>9</v>
      </c>
      <c r="N3" s="52" t="s">
        <v>10</v>
      </c>
      <c r="O3" s="52" t="s">
        <v>11</v>
      </c>
      <c r="P3" s="52" t="s">
        <v>12</v>
      </c>
      <c r="Q3" s="7" t="s">
        <v>15</v>
      </c>
    </row>
    <row r="4" spans="1:18">
      <c r="A4" s="8" t="s">
        <v>16</v>
      </c>
      <c r="B4" s="53" t="s">
        <v>17</v>
      </c>
      <c r="C4" s="53">
        <v>750</v>
      </c>
      <c r="D4" s="54">
        <v>5.4</v>
      </c>
      <c r="E4" s="55" t="s">
        <v>18</v>
      </c>
      <c r="F4" s="61" t="s">
        <v>19</v>
      </c>
      <c r="G4" s="65">
        <v>77.099999999999994</v>
      </c>
      <c r="H4" s="53">
        <v>7.4</v>
      </c>
      <c r="I4" s="53">
        <v>2.2000000000000002</v>
      </c>
      <c r="J4" s="53">
        <v>2.5</v>
      </c>
      <c r="K4" s="53">
        <v>0</v>
      </c>
      <c r="L4" s="9">
        <v>100</v>
      </c>
      <c r="M4" s="57">
        <f>$C4/$L4*G4</f>
        <v>578.25</v>
      </c>
      <c r="N4" s="57">
        <f>$C4/$L4*H4</f>
        <v>55.5</v>
      </c>
      <c r="O4" s="57">
        <f>$C4/$L4*I4</f>
        <v>16.5</v>
      </c>
      <c r="P4" s="57">
        <f>$C4/$L4*J4</f>
        <v>18.75</v>
      </c>
      <c r="Q4" s="16">
        <f>$C4/$L4*K4*0.3</f>
        <v>0</v>
      </c>
    </row>
    <row r="5" spans="1:18">
      <c r="A5" s="8"/>
      <c r="B5" s="53" t="s">
        <v>20</v>
      </c>
      <c r="C5" s="53">
        <v>500</v>
      </c>
      <c r="D5" s="56">
        <v>2.4</v>
      </c>
      <c r="E5" s="56" t="s">
        <v>21</v>
      </c>
      <c r="F5" s="61" t="s">
        <v>22</v>
      </c>
      <c r="G5" s="53">
        <v>40</v>
      </c>
      <c r="H5" s="53">
        <v>7</v>
      </c>
      <c r="I5" s="53">
        <v>1</v>
      </c>
      <c r="J5" s="53">
        <v>2.4</v>
      </c>
      <c r="K5" s="53">
        <v>0</v>
      </c>
      <c r="L5" s="9">
        <v>140</v>
      </c>
      <c r="M5" s="57">
        <f>$C5/$L5*G5</f>
        <v>142.85714285714286</v>
      </c>
      <c r="N5" s="57">
        <f>$C5/$L5*H5</f>
        <v>25</v>
      </c>
      <c r="O5" s="57">
        <f>$C5/$L5*I5</f>
        <v>3.5714285714285716</v>
      </c>
      <c r="P5" s="57">
        <f>$C5/$L5*J5</f>
        <v>8.5714285714285712</v>
      </c>
      <c r="Q5" s="16">
        <f>$C5/$L5*K5*0.3</f>
        <v>0</v>
      </c>
    </row>
    <row r="6" spans="1:18">
      <c r="A6" s="8"/>
      <c r="B6" s="53" t="s">
        <v>23</v>
      </c>
      <c r="C6" s="53">
        <v>600</v>
      </c>
      <c r="D6" s="56">
        <v>2.93</v>
      </c>
      <c r="E6" s="56" t="s">
        <v>24</v>
      </c>
      <c r="F6" s="61" t="s">
        <v>25</v>
      </c>
      <c r="G6" s="53">
        <v>16</v>
      </c>
      <c r="H6" s="53">
        <v>10</v>
      </c>
      <c r="I6" s="53">
        <v>0</v>
      </c>
      <c r="J6" s="53">
        <v>0</v>
      </c>
      <c r="K6" s="53">
        <v>0</v>
      </c>
      <c r="L6" s="9">
        <v>100</v>
      </c>
      <c r="M6" s="57">
        <f>$C6/$L6*G6</f>
        <v>96</v>
      </c>
      <c r="N6" s="57">
        <f>$C6/$L6*H6</f>
        <v>60</v>
      </c>
      <c r="O6" s="57">
        <f>$C6/$L6*I6</f>
        <v>0</v>
      </c>
      <c r="P6" s="57">
        <f>$C6/$L6*J6</f>
        <v>0</v>
      </c>
      <c r="Q6" s="16">
        <f>$C6/$L6*K6*0.3</f>
        <v>0</v>
      </c>
    </row>
    <row r="7" spans="1:18">
      <c r="A7" s="8"/>
      <c r="B7" s="58" t="s">
        <v>26</v>
      </c>
      <c r="C7" s="53">
        <v>480</v>
      </c>
      <c r="D7" s="56">
        <v>2.17</v>
      </c>
      <c r="E7" s="56" t="s">
        <v>27</v>
      </c>
      <c r="F7" s="61" t="s">
        <v>28</v>
      </c>
      <c r="G7" s="53">
        <v>30.2</v>
      </c>
      <c r="H7" s="53">
        <v>4.9000000000000004</v>
      </c>
      <c r="I7" s="53">
        <v>13</v>
      </c>
      <c r="J7" s="53">
        <v>1.2</v>
      </c>
      <c r="K7" s="53">
        <v>0</v>
      </c>
      <c r="L7" s="9">
        <v>80</v>
      </c>
      <c r="M7" s="57">
        <f>$C7/$L7*G7</f>
        <v>181.2</v>
      </c>
      <c r="N7" s="57">
        <f>$C7/$L7*H7</f>
        <v>29.400000000000002</v>
      </c>
      <c r="O7" s="57">
        <f>$C7/$L7*I7</f>
        <v>78</v>
      </c>
      <c r="P7" s="57">
        <f>$C7/$L7*J7</f>
        <v>7.1999999999999993</v>
      </c>
      <c r="Q7" s="16">
        <f>$C7/$L7*K7*0.3</f>
        <v>0</v>
      </c>
    </row>
    <row r="8" spans="1:18">
      <c r="A8" s="8"/>
      <c r="B8" s="53" t="s">
        <v>29</v>
      </c>
      <c r="C8" s="53">
        <v>280</v>
      </c>
      <c r="D8" s="56">
        <v>8.9</v>
      </c>
      <c r="E8" s="56" t="s">
        <v>30</v>
      </c>
      <c r="F8" s="61" t="s">
        <v>31</v>
      </c>
      <c r="G8" s="53">
        <v>16</v>
      </c>
      <c r="H8" s="53">
        <v>3</v>
      </c>
      <c r="I8" s="53">
        <v>0</v>
      </c>
      <c r="J8" s="53">
        <v>0.6</v>
      </c>
      <c r="K8" s="53">
        <v>0</v>
      </c>
      <c r="L8" s="9">
        <v>28</v>
      </c>
      <c r="M8" s="57">
        <f>$C8/$L8*G8</f>
        <v>160</v>
      </c>
      <c r="N8" s="57">
        <f>$C8/$L8*H8</f>
        <v>30</v>
      </c>
      <c r="O8" s="57">
        <f>$C8/$L8*I8</f>
        <v>0</v>
      </c>
      <c r="P8" s="57">
        <f>$C8/$L8*J8</f>
        <v>6</v>
      </c>
      <c r="Q8" s="16">
        <f>$C8/$L8*K8*0.3</f>
        <v>0</v>
      </c>
    </row>
    <row r="9" spans="1:18">
      <c r="A9" s="8"/>
      <c r="B9" s="58" t="s">
        <v>32</v>
      </c>
      <c r="C9" s="53">
        <v>360</v>
      </c>
      <c r="D9" s="56">
        <v>4.2</v>
      </c>
      <c r="E9" s="56" t="s">
        <v>33</v>
      </c>
      <c r="F9" s="61" t="s">
        <v>34</v>
      </c>
      <c r="G9" s="53">
        <v>63</v>
      </c>
      <c r="H9" s="53">
        <v>13</v>
      </c>
      <c r="I9" s="53">
        <v>24</v>
      </c>
      <c r="J9" s="53">
        <v>0</v>
      </c>
      <c r="K9" s="53">
        <v>0</v>
      </c>
      <c r="L9" s="9">
        <v>100</v>
      </c>
      <c r="M9" s="57">
        <f>$C9/$L9*G9</f>
        <v>226.8</v>
      </c>
      <c r="N9" s="57">
        <f>$C9/$L9*H9</f>
        <v>46.800000000000004</v>
      </c>
      <c r="O9" s="57">
        <f>$C9/$L9*I9</f>
        <v>86.4</v>
      </c>
      <c r="P9" s="57">
        <f>$C9/$L9*J9</f>
        <v>0</v>
      </c>
      <c r="Q9" s="16">
        <f>$C9/$L9*K9*0.3</f>
        <v>0</v>
      </c>
    </row>
    <row r="10" spans="1:18">
      <c r="A10" s="8"/>
      <c r="B10" s="58"/>
      <c r="C10" s="53"/>
      <c r="D10" s="56"/>
      <c r="E10" s="56"/>
      <c r="F10" s="61"/>
      <c r="G10" s="53"/>
      <c r="H10" s="53"/>
      <c r="I10" s="53"/>
      <c r="J10" s="53"/>
      <c r="K10" s="53"/>
      <c r="L10" s="9"/>
      <c r="M10" s="57"/>
      <c r="N10" s="57"/>
      <c r="O10" s="57"/>
      <c r="P10" s="57"/>
      <c r="Q10" s="16"/>
    </row>
    <row r="11" spans="1:18">
      <c r="A11" s="8" t="s">
        <v>35</v>
      </c>
      <c r="B11" s="58"/>
      <c r="C11" s="53">
        <v>200</v>
      </c>
      <c r="D11" s="56">
        <v>1.35</v>
      </c>
      <c r="E11" s="56" t="s">
        <v>36</v>
      </c>
      <c r="F11" s="61" t="s">
        <v>37</v>
      </c>
      <c r="G11" s="53">
        <v>0</v>
      </c>
      <c r="H11" s="53">
        <v>5</v>
      </c>
      <c r="I11" s="53">
        <v>0</v>
      </c>
      <c r="J11" s="53">
        <v>4.3</v>
      </c>
      <c r="K11" s="53">
        <v>14742</v>
      </c>
      <c r="L11" s="9">
        <v>180</v>
      </c>
      <c r="M11" s="57">
        <f>$C11/$L11*G11</f>
        <v>0</v>
      </c>
      <c r="N11" s="57">
        <f>$C11/$L11*H11</f>
        <v>5.5555555555555554</v>
      </c>
      <c r="O11" s="57">
        <f>$C11/$L11*I11</f>
        <v>0</v>
      </c>
      <c r="P11" s="57">
        <f>$C11/$L11*J11</f>
        <v>4.7777777777777777</v>
      </c>
      <c r="Q11" s="16">
        <f>$C11/$L11*K11*0.3</f>
        <v>4914</v>
      </c>
    </row>
    <row r="12" spans="1:18">
      <c r="A12" s="8"/>
      <c r="B12" s="53" t="s">
        <v>38</v>
      </c>
      <c r="C12" s="53">
        <v>300</v>
      </c>
      <c r="D12" s="56">
        <v>1.83</v>
      </c>
      <c r="E12" s="56" t="s">
        <v>39</v>
      </c>
      <c r="F12" s="61" t="s">
        <v>40</v>
      </c>
      <c r="G12" s="53">
        <v>0</v>
      </c>
      <c r="H12" s="53">
        <v>3</v>
      </c>
      <c r="I12" s="53">
        <v>0</v>
      </c>
      <c r="J12" s="53">
        <v>2.7</v>
      </c>
      <c r="K12" s="53">
        <v>4366</v>
      </c>
      <c r="L12" s="9">
        <v>170</v>
      </c>
      <c r="M12" s="57">
        <f>$C12/$L12*G12</f>
        <v>0</v>
      </c>
      <c r="N12" s="57">
        <f>$C12/$L12*H12</f>
        <v>5.2941176470588234</v>
      </c>
      <c r="O12" s="57">
        <f>$C12/$L12*I12</f>
        <v>0</v>
      </c>
      <c r="P12" s="57">
        <f>$C12/$L12*J12</f>
        <v>4.7647058823529411</v>
      </c>
      <c r="Q12" s="16">
        <f>$C12/$L12*K12*0.3</f>
        <v>2311.411764705882</v>
      </c>
    </row>
    <row r="13" spans="1:18">
      <c r="A13" s="8"/>
      <c r="B13" s="53" t="s">
        <v>41</v>
      </c>
      <c r="C13" s="53">
        <v>500</v>
      </c>
      <c r="D13" s="56">
        <v>0.95</v>
      </c>
      <c r="E13" s="56" t="s">
        <v>42</v>
      </c>
      <c r="F13" s="61" t="s">
        <v>43</v>
      </c>
      <c r="G13" s="53">
        <v>0</v>
      </c>
      <c r="H13" s="53">
        <v>2</v>
      </c>
      <c r="I13" s="53">
        <v>0</v>
      </c>
      <c r="J13" s="53">
        <v>5.0999999999999996</v>
      </c>
      <c r="K13" s="53">
        <v>38304</v>
      </c>
      <c r="L13" s="9">
        <v>156</v>
      </c>
      <c r="M13" s="57">
        <f>$C13/$L13*G13</f>
        <v>0</v>
      </c>
      <c r="N13" s="57">
        <f>$C13/$L13*H13</f>
        <v>6.4102564102564106</v>
      </c>
      <c r="O13" s="57">
        <f>$C13/$L13*I13</f>
        <v>0</v>
      </c>
      <c r="P13" s="57">
        <f>$C13/$L13*J13</f>
        <v>16.346153846153847</v>
      </c>
      <c r="Q13" s="16">
        <f>$C13/$L13*K13*0.3</f>
        <v>36830.769230769234</v>
      </c>
    </row>
    <row r="14" spans="1:18">
      <c r="A14" s="8"/>
      <c r="B14" s="53" t="s">
        <v>44</v>
      </c>
      <c r="C14" s="53">
        <v>250</v>
      </c>
      <c r="D14" s="56">
        <v>3.18</v>
      </c>
      <c r="E14" s="56" t="s">
        <v>45</v>
      </c>
      <c r="F14" s="61" t="s">
        <v>46</v>
      </c>
      <c r="G14" s="53">
        <v>0</v>
      </c>
      <c r="H14" s="53">
        <v>5</v>
      </c>
      <c r="I14" s="53">
        <v>1</v>
      </c>
      <c r="J14" s="53">
        <v>4.5</v>
      </c>
      <c r="K14" s="53">
        <v>2165</v>
      </c>
      <c r="L14" s="9">
        <v>156</v>
      </c>
      <c r="M14" s="57">
        <f>$C14/$L14*G14</f>
        <v>0</v>
      </c>
      <c r="N14" s="57">
        <f>$C14/$L14*H14</f>
        <v>8.0128205128205128</v>
      </c>
      <c r="O14" s="57">
        <f>$C14/$L14*I14</f>
        <v>1.6025641025641026</v>
      </c>
      <c r="P14" s="57">
        <f>$C14/$L14*J14</f>
        <v>7.2115384615384617</v>
      </c>
      <c r="Q14" s="16">
        <f>$C14/$L14*K14*0.3</f>
        <v>1040.8653846153845</v>
      </c>
    </row>
    <row r="15" spans="1:18">
      <c r="A15" s="8"/>
      <c r="B15" s="53" t="s">
        <v>47</v>
      </c>
      <c r="C15" s="53">
        <v>500</v>
      </c>
      <c r="D15" s="56">
        <v>5.5</v>
      </c>
      <c r="E15" s="56" t="s">
        <v>48</v>
      </c>
      <c r="F15" s="61" t="s">
        <v>49</v>
      </c>
      <c r="G15" s="53">
        <v>32</v>
      </c>
      <c r="H15" s="53">
        <v>5</v>
      </c>
      <c r="I15" s="53">
        <v>1</v>
      </c>
      <c r="J15" s="53">
        <v>3.9</v>
      </c>
      <c r="K15" s="53">
        <v>361</v>
      </c>
      <c r="L15" s="9">
        <v>164</v>
      </c>
      <c r="M15" s="57">
        <f>$C15/$L15*G15</f>
        <v>97.560975609756099</v>
      </c>
      <c r="N15" s="57">
        <f>$C15/$L15*H15</f>
        <v>15.24390243902439</v>
      </c>
      <c r="O15" s="57">
        <f>$C15/$L15*I15</f>
        <v>3.0487804878048781</v>
      </c>
      <c r="P15" s="57">
        <f>$C15/$L15*J15</f>
        <v>11.890243902439025</v>
      </c>
      <c r="Q15" s="16">
        <f>$C15/$L15*K15*0.3</f>
        <v>330.1829268292683</v>
      </c>
    </row>
    <row r="16" spans="1:18">
      <c r="A16" s="8"/>
      <c r="B16" s="58" t="s">
        <v>50</v>
      </c>
      <c r="C16" s="53">
        <v>450</v>
      </c>
      <c r="D16" s="56">
        <v>2.4500000000000002</v>
      </c>
      <c r="E16" s="56" t="s">
        <v>51</v>
      </c>
      <c r="F16" s="61" t="s">
        <v>52</v>
      </c>
      <c r="G16" s="53">
        <v>2</v>
      </c>
      <c r="H16" s="53">
        <v>1</v>
      </c>
      <c r="I16" s="53">
        <v>0</v>
      </c>
      <c r="J16" s="53">
        <v>1.5</v>
      </c>
      <c r="K16" s="53">
        <v>9</v>
      </c>
      <c r="L16" s="9">
        <v>54</v>
      </c>
      <c r="M16" s="57">
        <f>$C16/$L16*G16</f>
        <v>16.666666666666668</v>
      </c>
      <c r="N16" s="57">
        <f>$C16/$L16*H16</f>
        <v>8.3333333333333339</v>
      </c>
      <c r="O16" s="57">
        <f>$C16/$L16*I16</f>
        <v>0</v>
      </c>
      <c r="P16" s="57">
        <f>$C16/$L16*J16</f>
        <v>12.5</v>
      </c>
      <c r="Q16" s="16">
        <f>$C16/$L16*K16*0.3</f>
        <v>22.5</v>
      </c>
    </row>
    <row r="17" spans="1:17">
      <c r="A17" s="8"/>
      <c r="B17" s="53" t="s">
        <v>53</v>
      </c>
      <c r="C17" s="53">
        <v>100</v>
      </c>
      <c r="D17" s="56">
        <v>2.75</v>
      </c>
      <c r="E17" s="56" t="s">
        <v>54</v>
      </c>
      <c r="F17" s="61" t="s">
        <v>55</v>
      </c>
      <c r="G17" s="53">
        <v>8</v>
      </c>
      <c r="H17" s="53">
        <v>5</v>
      </c>
      <c r="I17" s="53">
        <v>1</v>
      </c>
      <c r="J17" s="53">
        <v>2.9</v>
      </c>
      <c r="K17" s="53">
        <v>970</v>
      </c>
      <c r="L17" s="9">
        <v>180</v>
      </c>
      <c r="M17" s="57">
        <f>$C17/$L17*G17</f>
        <v>4.4444444444444446</v>
      </c>
      <c r="N17" s="57">
        <f>$C17/$L17*H17</f>
        <v>2.7777777777777777</v>
      </c>
      <c r="O17" s="57">
        <f>$C17/$L17*I17</f>
        <v>0.55555555555555558</v>
      </c>
      <c r="P17" s="57">
        <f>$C17/$L17*J17</f>
        <v>1.6111111111111112</v>
      </c>
      <c r="Q17" s="16">
        <f>$C17/$L17*K17*0.3</f>
        <v>161.66666666666666</v>
      </c>
    </row>
    <row r="18" spans="1:17">
      <c r="A18" s="8"/>
      <c r="B18" s="53" t="s">
        <v>56</v>
      </c>
      <c r="C18" s="53">
        <v>600</v>
      </c>
      <c r="D18" s="56">
        <v>1.95</v>
      </c>
      <c r="E18" s="56" t="s">
        <v>57</v>
      </c>
      <c r="F18" s="61" t="s">
        <v>58</v>
      </c>
      <c r="G18" s="53">
        <v>7</v>
      </c>
      <c r="H18" s="53">
        <v>2</v>
      </c>
      <c r="I18" s="53">
        <v>1</v>
      </c>
      <c r="J18" s="53">
        <v>3.5</v>
      </c>
      <c r="K18" s="53">
        <v>198</v>
      </c>
      <c r="L18" s="9">
        <v>150</v>
      </c>
      <c r="M18" s="57">
        <f>$C18/$L18*G18</f>
        <v>28</v>
      </c>
      <c r="N18" s="57">
        <f>$C18/$L18*H18</f>
        <v>8</v>
      </c>
      <c r="O18" s="57">
        <f>$C18/$L18*I18</f>
        <v>4</v>
      </c>
      <c r="P18" s="57">
        <f>$C18/$L18*J18</f>
        <v>14</v>
      </c>
      <c r="Q18" s="16">
        <f>$C18/$L18*K18*0.3</f>
        <v>237.6</v>
      </c>
    </row>
    <row r="19" spans="1:17">
      <c r="A19" s="8"/>
      <c r="B19" s="58" t="s">
        <v>59</v>
      </c>
      <c r="C19" s="53">
        <v>800</v>
      </c>
      <c r="D19" s="56">
        <v>2.85</v>
      </c>
      <c r="E19" s="56" t="s">
        <v>60</v>
      </c>
      <c r="F19" s="61" t="s">
        <v>61</v>
      </c>
      <c r="G19" s="53">
        <v>0</v>
      </c>
      <c r="H19" s="53">
        <v>1</v>
      </c>
      <c r="I19" s="53">
        <v>0</v>
      </c>
      <c r="J19" s="53">
        <v>0.1</v>
      </c>
      <c r="K19" s="53">
        <v>73</v>
      </c>
      <c r="L19" s="9">
        <v>55</v>
      </c>
      <c r="M19" s="57">
        <f>$C19/$L19*G19</f>
        <v>0</v>
      </c>
      <c r="N19" s="57">
        <f>$C19/$L19*H19</f>
        <v>14.545454545454545</v>
      </c>
      <c r="O19" s="57">
        <f>$C19/$L19*I19</f>
        <v>0</v>
      </c>
      <c r="P19" s="57">
        <f>$C19/$L19*J19</f>
        <v>1.4545454545454546</v>
      </c>
      <c r="Q19" s="16">
        <f>$C19/$L19*K19*0.3</f>
        <v>318.5454545454545</v>
      </c>
    </row>
    <row r="20" spans="1:17">
      <c r="A20" s="8"/>
      <c r="B20" s="53"/>
      <c r="C20" s="53"/>
      <c r="D20" s="56"/>
      <c r="E20" s="56"/>
      <c r="F20" s="61"/>
      <c r="G20" s="53"/>
      <c r="H20" s="53"/>
      <c r="I20" s="53"/>
      <c r="J20" s="53"/>
      <c r="K20" s="53"/>
      <c r="L20" s="9"/>
      <c r="M20" s="57"/>
      <c r="N20" s="57"/>
      <c r="O20" s="57"/>
      <c r="P20" s="57"/>
      <c r="Q20" s="16"/>
    </row>
    <row r="21" spans="1:17">
      <c r="A21" s="8" t="s">
        <v>62</v>
      </c>
      <c r="B21" s="53" t="s">
        <v>63</v>
      </c>
      <c r="C21" s="53">
        <v>1000</v>
      </c>
      <c r="D21" s="56">
        <v>8.4</v>
      </c>
      <c r="E21" s="56" t="s">
        <v>64</v>
      </c>
      <c r="F21" s="61" t="s">
        <v>65</v>
      </c>
      <c r="G21" s="53">
        <v>17</v>
      </c>
      <c r="H21" s="53">
        <v>13</v>
      </c>
      <c r="I21" s="53">
        <v>0</v>
      </c>
      <c r="J21" s="53">
        <v>0</v>
      </c>
      <c r="K21" s="53">
        <v>16</v>
      </c>
      <c r="L21" s="9">
        <v>227</v>
      </c>
      <c r="M21" s="57">
        <f>$C21/$L21*G21</f>
        <v>74.889867841409682</v>
      </c>
      <c r="N21" s="57">
        <f>$C21/$L21*H21</f>
        <v>57.268722466960348</v>
      </c>
      <c r="O21" s="57">
        <f>$C21/$L21*I21</f>
        <v>0</v>
      </c>
      <c r="P21" s="57">
        <f>$C21/$L21*J21</f>
        <v>0</v>
      </c>
      <c r="Q21" s="16">
        <f>$C21/$L21*K21*0.3</f>
        <v>21.145374449339204</v>
      </c>
    </row>
    <row r="22" spans="1:17">
      <c r="A22" s="8"/>
      <c r="B22" s="53" t="s">
        <v>66</v>
      </c>
      <c r="C22" s="53">
        <v>2000</v>
      </c>
      <c r="D22" s="56">
        <v>6.1</v>
      </c>
      <c r="E22" s="56" t="s">
        <v>67</v>
      </c>
      <c r="F22" s="61" t="s">
        <v>68</v>
      </c>
      <c r="G22" s="53">
        <v>11</v>
      </c>
      <c r="H22" s="53">
        <v>8</v>
      </c>
      <c r="I22" s="53">
        <v>8</v>
      </c>
      <c r="J22" s="53">
        <v>0</v>
      </c>
      <c r="K22" s="53">
        <v>307</v>
      </c>
      <c r="L22" s="9">
        <v>224</v>
      </c>
      <c r="M22" s="57">
        <f>$C22/$L22*G22</f>
        <v>98.214285714285722</v>
      </c>
      <c r="N22" s="57">
        <f>$C22/$L22*H22</f>
        <v>71.428571428571431</v>
      </c>
      <c r="O22" s="57">
        <f>$C22/$L22*I22</f>
        <v>71.428571428571431</v>
      </c>
      <c r="P22" s="57">
        <f>$C22/$L22*J22</f>
        <v>0</v>
      </c>
      <c r="Q22" s="16">
        <f>$C22/$L22*K22*0.3</f>
        <v>822.32142857142856</v>
      </c>
    </row>
    <row r="23" spans="1:17">
      <c r="A23" s="8"/>
      <c r="B23" s="53" t="s">
        <v>69</v>
      </c>
      <c r="C23" s="53">
        <v>946</v>
      </c>
      <c r="D23" s="56">
        <v>3.63</v>
      </c>
      <c r="E23" s="56" t="s">
        <v>70</v>
      </c>
      <c r="F23" s="61" t="s">
        <v>71</v>
      </c>
      <c r="G23" s="53">
        <v>11</v>
      </c>
      <c r="H23" s="53">
        <v>8</v>
      </c>
      <c r="I23" s="53">
        <v>8</v>
      </c>
      <c r="J23" s="53">
        <v>0</v>
      </c>
      <c r="K23" s="53">
        <v>307</v>
      </c>
      <c r="L23" s="9">
        <v>224</v>
      </c>
      <c r="M23" s="57">
        <f>$C23/$L23*G23</f>
        <v>46.455357142857139</v>
      </c>
      <c r="N23" s="57">
        <f>$C23/$L23*H23</f>
        <v>33.785714285714285</v>
      </c>
      <c r="O23" s="57">
        <f>$C23/$L23*I23</f>
        <v>33.785714285714285</v>
      </c>
      <c r="P23" s="57">
        <f>$C23/$L23*J23</f>
        <v>0</v>
      </c>
      <c r="Q23" s="16">
        <f>$C23/$L23*K23*0.3</f>
        <v>388.9580357142857</v>
      </c>
    </row>
    <row r="24" spans="1:17">
      <c r="A24" s="8"/>
      <c r="B24" s="53" t="s">
        <v>72</v>
      </c>
      <c r="C24" s="53">
        <v>250</v>
      </c>
      <c r="D24" s="56">
        <v>7.45</v>
      </c>
      <c r="E24" s="56" t="s">
        <v>73</v>
      </c>
      <c r="F24" s="61" t="s">
        <v>74</v>
      </c>
      <c r="G24" s="53">
        <v>1</v>
      </c>
      <c r="H24" s="53">
        <v>2</v>
      </c>
      <c r="I24" s="53">
        <v>10</v>
      </c>
      <c r="J24" s="53">
        <v>0</v>
      </c>
      <c r="K24" s="53">
        <v>405</v>
      </c>
      <c r="L24" s="9">
        <v>28</v>
      </c>
      <c r="M24" s="57">
        <f>$C24/$L24*G24</f>
        <v>8.9285714285714288</v>
      </c>
      <c r="N24" s="57">
        <f>$C24/$L24*H24</f>
        <v>17.857142857142858</v>
      </c>
      <c r="O24" s="57">
        <f>$C24/$L24*I24</f>
        <v>89.285714285714292</v>
      </c>
      <c r="P24" s="57">
        <f>$C24/$L24*J24</f>
        <v>0</v>
      </c>
      <c r="Q24" s="16">
        <f>$C24/$L24*K24*0.3</f>
        <v>1084.8214285714287</v>
      </c>
    </row>
    <row r="25" spans="1:17">
      <c r="A25" s="8"/>
      <c r="B25" s="53" t="s">
        <v>75</v>
      </c>
      <c r="C25" s="53">
        <v>550</v>
      </c>
      <c r="D25" s="56">
        <v>2.85</v>
      </c>
      <c r="E25" s="56" t="s">
        <v>76</v>
      </c>
      <c r="F25" s="61" t="s">
        <v>77</v>
      </c>
      <c r="G25" s="53">
        <v>1</v>
      </c>
      <c r="H25" s="53">
        <v>5</v>
      </c>
      <c r="I25" s="53">
        <v>4</v>
      </c>
      <c r="J25" s="53">
        <v>0</v>
      </c>
      <c r="K25" s="53">
        <v>279</v>
      </c>
      <c r="L25" s="9">
        <v>44</v>
      </c>
      <c r="M25" s="57">
        <f>$C25/$L25*G25</f>
        <v>12.5</v>
      </c>
      <c r="N25" s="57">
        <f>$C25/$L25*H25</f>
        <v>62.5</v>
      </c>
      <c r="O25" s="57">
        <f>$C25/$L25*I25</f>
        <v>50</v>
      </c>
      <c r="P25" s="57">
        <f>$C25/$L25*J25</f>
        <v>0</v>
      </c>
      <c r="Q25" s="16">
        <f>$C25/$L25*K25*0.3</f>
        <v>1046.25</v>
      </c>
    </row>
    <row r="26" spans="1:17">
      <c r="A26" s="8"/>
      <c r="B26" s="53" t="s">
        <v>75</v>
      </c>
      <c r="C26" s="53">
        <v>1650</v>
      </c>
      <c r="D26" s="56">
        <v>6.65</v>
      </c>
      <c r="E26" s="56" t="s">
        <v>78</v>
      </c>
      <c r="F26" s="61" t="s">
        <v>79</v>
      </c>
      <c r="G26" s="53">
        <v>1</v>
      </c>
      <c r="H26" s="53">
        <v>5</v>
      </c>
      <c r="I26" s="53">
        <v>4</v>
      </c>
      <c r="J26" s="53">
        <v>0</v>
      </c>
      <c r="K26" s="53">
        <v>279</v>
      </c>
      <c r="L26" s="9">
        <v>44</v>
      </c>
      <c r="M26" s="57">
        <f>$C26/$L26*G26</f>
        <v>37.5</v>
      </c>
      <c r="N26" s="57">
        <f>$C26/$L26*H26</f>
        <v>187.5</v>
      </c>
      <c r="O26" s="57">
        <f>$C26/$L26*I26</f>
        <v>150</v>
      </c>
      <c r="P26" s="57">
        <f>$C26/$L26*J26</f>
        <v>0</v>
      </c>
      <c r="Q26" s="16">
        <f>$C26/$L26*K26*0.3</f>
        <v>3138.75</v>
      </c>
    </row>
    <row r="27" spans="1:17">
      <c r="A27" s="8"/>
      <c r="B27" s="53"/>
      <c r="C27" s="53"/>
      <c r="D27" s="56"/>
      <c r="E27" s="56"/>
      <c r="F27" s="61"/>
      <c r="G27" s="53"/>
      <c r="H27" s="53"/>
      <c r="I27" s="53"/>
      <c r="J27" s="53"/>
      <c r="K27" s="53"/>
      <c r="L27" s="9"/>
      <c r="M27" s="57"/>
      <c r="N27" s="57"/>
      <c r="O27" s="57"/>
      <c r="P27" s="57"/>
      <c r="Q27" s="16"/>
    </row>
    <row r="28" spans="1:17">
      <c r="A28" s="8" t="s">
        <v>10</v>
      </c>
      <c r="B28" s="53" t="s">
        <v>80</v>
      </c>
      <c r="C28" s="53">
        <v>1200</v>
      </c>
      <c r="D28" s="56">
        <v>11.1</v>
      </c>
      <c r="E28" s="56" t="s">
        <v>81</v>
      </c>
      <c r="F28" s="61" t="s">
        <v>82</v>
      </c>
      <c r="G28" s="53">
        <v>0</v>
      </c>
      <c r="H28" s="53">
        <v>27</v>
      </c>
      <c r="I28" s="53">
        <v>6</v>
      </c>
      <c r="J28" s="53">
        <v>0</v>
      </c>
      <c r="K28" s="53">
        <v>1</v>
      </c>
      <c r="L28" s="9">
        <v>100</v>
      </c>
      <c r="M28" s="57">
        <f>$C28/$L28*G28</f>
        <v>0</v>
      </c>
      <c r="N28" s="57">
        <f>$C28/$L28*H28</f>
        <v>324</v>
      </c>
      <c r="O28" s="57">
        <f>$C28/$L28*I28</f>
        <v>72</v>
      </c>
      <c r="P28" s="57">
        <f>$C28/$L28*J28</f>
        <v>0</v>
      </c>
      <c r="Q28" s="16">
        <f>$C28/$L28*K28*0.3</f>
        <v>3.5999999999999996</v>
      </c>
    </row>
    <row r="29" spans="1:17">
      <c r="A29" s="8" t="s">
        <v>83</v>
      </c>
      <c r="B29" s="53" t="s">
        <v>84</v>
      </c>
      <c r="C29" s="53">
        <v>200</v>
      </c>
      <c r="D29" s="56">
        <v>3.35</v>
      </c>
      <c r="E29" s="56" t="s">
        <v>85</v>
      </c>
      <c r="F29" s="61" t="s">
        <v>86</v>
      </c>
      <c r="G29" s="53">
        <v>0</v>
      </c>
      <c r="H29" s="53">
        <v>27</v>
      </c>
      <c r="I29" s="53">
        <v>3</v>
      </c>
      <c r="J29" s="53">
        <v>0</v>
      </c>
      <c r="K29" s="53">
        <v>1</v>
      </c>
      <c r="L29" s="9">
        <v>100</v>
      </c>
      <c r="M29" s="57">
        <f>$C29/$L29*G29</f>
        <v>0</v>
      </c>
      <c r="N29" s="57">
        <f>$C29/$L29*H29</f>
        <v>54</v>
      </c>
      <c r="O29" s="57">
        <f>$C29/$L29*I29</f>
        <v>6</v>
      </c>
      <c r="P29" s="57">
        <f>$C29/$L29*J29</f>
        <v>0</v>
      </c>
      <c r="Q29" s="16">
        <f>$C29/$L29*K29*0.3</f>
        <v>0.6</v>
      </c>
    </row>
    <row r="30" spans="1:17">
      <c r="A30" s="8"/>
      <c r="B30" s="53" t="s">
        <v>87</v>
      </c>
      <c r="C30" s="53">
        <v>1100</v>
      </c>
      <c r="D30" s="56">
        <v>22</v>
      </c>
      <c r="E30" s="56" t="s">
        <v>88</v>
      </c>
      <c r="F30" s="61" t="s">
        <v>89</v>
      </c>
      <c r="G30" s="53">
        <v>0</v>
      </c>
      <c r="H30" s="53">
        <v>27</v>
      </c>
      <c r="I30" s="53">
        <v>6</v>
      </c>
      <c r="J30" s="53">
        <v>0</v>
      </c>
      <c r="K30" s="53">
        <v>1</v>
      </c>
      <c r="L30" s="9">
        <v>100</v>
      </c>
      <c r="M30" s="57">
        <f>$C30/$L30*G30</f>
        <v>0</v>
      </c>
      <c r="N30" s="57">
        <f>$C30/$L30*H30</f>
        <v>297</v>
      </c>
      <c r="O30" s="57">
        <f>$C30/$L30*I30</f>
        <v>66</v>
      </c>
      <c r="P30" s="57">
        <f>$C30/$L30*J30</f>
        <v>0</v>
      </c>
      <c r="Q30" s="16">
        <f>$C30/$L30*K30*0.3</f>
        <v>3.3</v>
      </c>
    </row>
    <row r="31" spans="1:17">
      <c r="A31" s="8"/>
      <c r="B31" s="53" t="s">
        <v>90</v>
      </c>
      <c r="C31" s="53">
        <v>1050</v>
      </c>
      <c r="D31" s="56">
        <v>9.75</v>
      </c>
      <c r="E31" s="56" t="s">
        <v>91</v>
      </c>
      <c r="F31" s="61" t="s">
        <v>92</v>
      </c>
      <c r="G31" s="53">
        <v>0</v>
      </c>
      <c r="H31" s="53">
        <v>27</v>
      </c>
      <c r="I31" s="53">
        <v>6</v>
      </c>
      <c r="J31" s="53">
        <v>0</v>
      </c>
      <c r="K31" s="53">
        <v>1</v>
      </c>
      <c r="L31" s="9">
        <v>100</v>
      </c>
      <c r="M31" s="57">
        <f>$C31/$L31*G31</f>
        <v>0</v>
      </c>
      <c r="N31" s="57">
        <f>$C31/$L31*H31</f>
        <v>283.5</v>
      </c>
      <c r="O31" s="57">
        <f>$C31/$L31*I31</f>
        <v>63</v>
      </c>
      <c r="P31" s="57">
        <f>$C31/$L31*J31</f>
        <v>0</v>
      </c>
      <c r="Q31" s="16">
        <f>$C31/$L31*K31*0.3</f>
        <v>3.15</v>
      </c>
    </row>
    <row r="32" spans="1:17">
      <c r="A32" s="8"/>
      <c r="B32" s="53" t="s">
        <v>93</v>
      </c>
      <c r="C32" s="53">
        <v>200</v>
      </c>
      <c r="D32" s="56">
        <v>4.1500000000000004</v>
      </c>
      <c r="E32" s="56" t="s">
        <v>94</v>
      </c>
      <c r="F32" s="61" t="s">
        <v>95</v>
      </c>
      <c r="G32" s="53">
        <v>0</v>
      </c>
      <c r="H32" s="53">
        <v>27</v>
      </c>
      <c r="I32" s="53">
        <v>6</v>
      </c>
      <c r="J32" s="53">
        <v>0</v>
      </c>
      <c r="K32" s="53">
        <v>1</v>
      </c>
      <c r="L32" s="9">
        <v>100</v>
      </c>
      <c r="M32" s="57">
        <f>$C32/$L32*G32</f>
        <v>0</v>
      </c>
      <c r="N32" s="57">
        <f>$C32/$L32*H32</f>
        <v>54</v>
      </c>
      <c r="O32" s="57">
        <f>$C32/$L32*I32</f>
        <v>12</v>
      </c>
      <c r="P32" s="57">
        <f>$C32/$L32*J32</f>
        <v>0</v>
      </c>
      <c r="Q32" s="16">
        <f>$C32/$L32*K32*0.3</f>
        <v>0.6</v>
      </c>
    </row>
    <row r="33" spans="1:17">
      <c r="A33" s="8"/>
      <c r="B33" s="53" t="s">
        <v>96</v>
      </c>
      <c r="C33" s="53">
        <v>200</v>
      </c>
      <c r="D33" s="56">
        <v>3.35</v>
      </c>
      <c r="E33" s="56" t="s">
        <v>97</v>
      </c>
      <c r="F33" s="61" t="s">
        <v>98</v>
      </c>
      <c r="G33" s="53">
        <v>0</v>
      </c>
      <c r="H33" s="53">
        <v>13</v>
      </c>
      <c r="I33" s="53">
        <v>3</v>
      </c>
      <c r="J33" s="53">
        <v>0</v>
      </c>
      <c r="K33" s="53">
        <v>1</v>
      </c>
      <c r="L33" s="9">
        <v>100</v>
      </c>
      <c r="M33" s="57">
        <f>$C33/$L33*G33</f>
        <v>0</v>
      </c>
      <c r="N33" s="57">
        <f>$C33/$L33*H33</f>
        <v>26</v>
      </c>
      <c r="O33" s="57">
        <f>$C33/$L33*I33</f>
        <v>6</v>
      </c>
      <c r="P33" s="57">
        <f>$C33/$L33*J33</f>
        <v>0</v>
      </c>
      <c r="Q33" s="16">
        <f>$C33/$L33*K33*0.3</f>
        <v>0.6</v>
      </c>
    </row>
    <row r="34" spans="1:17">
      <c r="A34" s="8"/>
      <c r="B34" s="53" t="s">
        <v>99</v>
      </c>
      <c r="C34" s="53">
        <v>250</v>
      </c>
      <c r="D34" s="56">
        <v>7.16</v>
      </c>
      <c r="E34" s="56" t="s">
        <v>100</v>
      </c>
      <c r="F34" s="61" t="s">
        <v>101</v>
      </c>
      <c r="G34" s="53">
        <v>0</v>
      </c>
      <c r="H34" s="53">
        <v>28</v>
      </c>
      <c r="I34" s="53">
        <v>11</v>
      </c>
      <c r="J34" s="53">
        <v>0</v>
      </c>
      <c r="K34" s="53">
        <v>3</v>
      </c>
      <c r="L34" s="9">
        <v>100</v>
      </c>
      <c r="M34" s="57">
        <f>$C34/$L34*G34</f>
        <v>0</v>
      </c>
      <c r="N34" s="57">
        <f>$C34/$L34*H34</f>
        <v>70</v>
      </c>
      <c r="O34" s="57">
        <f>$C34/$L34*I34</f>
        <v>27.5</v>
      </c>
      <c r="P34" s="57">
        <f>$C34/$L34*J34</f>
        <v>0</v>
      </c>
      <c r="Q34" s="16">
        <f>$C34/$L34*K34*0.3</f>
        <v>2.25</v>
      </c>
    </row>
    <row r="35" spans="1:17">
      <c r="A35" s="8"/>
      <c r="B35" s="53" t="s">
        <v>102</v>
      </c>
      <c r="C35" s="53">
        <v>250</v>
      </c>
      <c r="D35" s="56">
        <v>7.9</v>
      </c>
      <c r="E35" s="56" t="s">
        <v>103</v>
      </c>
      <c r="F35" s="61" t="s">
        <v>104</v>
      </c>
      <c r="G35" s="53">
        <v>0</v>
      </c>
      <c r="H35" s="53">
        <v>28</v>
      </c>
      <c r="I35" s="53">
        <v>11</v>
      </c>
      <c r="J35" s="53">
        <v>0</v>
      </c>
      <c r="K35" s="53">
        <v>3</v>
      </c>
      <c r="L35" s="9">
        <v>100</v>
      </c>
      <c r="M35" s="57">
        <f>$C35/$L35*G35</f>
        <v>0</v>
      </c>
      <c r="N35" s="57">
        <f>$C35/$L35*H35</f>
        <v>70</v>
      </c>
      <c r="O35" s="57">
        <f>$C35/$L35*I35</f>
        <v>27.5</v>
      </c>
      <c r="P35" s="57">
        <f>$C35/$L35*J35</f>
        <v>0</v>
      </c>
      <c r="Q35" s="16">
        <f>$C35/$L35*K35*0.3</f>
        <v>2.25</v>
      </c>
    </row>
    <row r="36" spans="1:17">
      <c r="A36" s="8"/>
      <c r="B36" s="53" t="s">
        <v>105</v>
      </c>
      <c r="C36" s="53">
        <v>300</v>
      </c>
      <c r="D36" s="56">
        <v>6.6</v>
      </c>
      <c r="E36" s="56" t="s">
        <v>106</v>
      </c>
      <c r="F36" s="61" t="s">
        <v>107</v>
      </c>
      <c r="G36" s="53">
        <v>0</v>
      </c>
      <c r="H36" s="53">
        <v>24</v>
      </c>
      <c r="I36" s="53">
        <v>11</v>
      </c>
      <c r="J36" s="53">
        <v>0</v>
      </c>
      <c r="K36" s="53">
        <v>8</v>
      </c>
      <c r="L36" s="9">
        <v>85</v>
      </c>
      <c r="M36" s="57">
        <f>$C36/$L36*G36</f>
        <v>0</v>
      </c>
      <c r="N36" s="57">
        <f>$C36/$L36*H36</f>
        <v>84.705882352941174</v>
      </c>
      <c r="O36" s="57">
        <f>$C36/$L36*I36</f>
        <v>38.823529411764703</v>
      </c>
      <c r="P36" s="57">
        <f>$C36/$L36*J36</f>
        <v>0</v>
      </c>
      <c r="Q36" s="16">
        <f>$C36/$L36*K36*0.3</f>
        <v>8.4705882352941178</v>
      </c>
    </row>
    <row r="37" spans="1:17">
      <c r="A37" s="8"/>
      <c r="B37" s="58" t="s">
        <v>108</v>
      </c>
      <c r="C37" s="53">
        <v>300</v>
      </c>
      <c r="D37" s="56">
        <v>9.6300000000000008</v>
      </c>
      <c r="E37" s="56" t="s">
        <v>109</v>
      </c>
      <c r="F37" s="61" t="s">
        <v>110</v>
      </c>
      <c r="G37" s="53">
        <v>0</v>
      </c>
      <c r="H37" s="53">
        <v>26</v>
      </c>
      <c r="I37" s="53">
        <v>7</v>
      </c>
      <c r="J37" s="53">
        <v>0</v>
      </c>
      <c r="K37" s="53">
        <v>7</v>
      </c>
      <c r="L37" s="9">
        <v>85</v>
      </c>
      <c r="M37" s="57">
        <f>$C37/$L37*G37</f>
        <v>0</v>
      </c>
      <c r="N37" s="57">
        <f>$C37/$L37*H37</f>
        <v>91.764705882352942</v>
      </c>
      <c r="O37" s="57">
        <f>$C37/$L37*I37</f>
        <v>24.705882352941174</v>
      </c>
      <c r="P37" s="57">
        <f>$C37/$L37*J37</f>
        <v>0</v>
      </c>
      <c r="Q37" s="16">
        <f>$C37/$L37*K37*0.3</f>
        <v>7.4117647058823515</v>
      </c>
    </row>
    <row r="38" spans="1:17">
      <c r="A38" s="10"/>
      <c r="B38" s="11" t="s">
        <v>111</v>
      </c>
      <c r="C38" s="11">
        <v>150</v>
      </c>
      <c r="D38" s="59">
        <v>6.91</v>
      </c>
      <c r="E38" s="59" t="s">
        <v>112</v>
      </c>
      <c r="F38" s="62" t="s">
        <v>113</v>
      </c>
      <c r="G38" s="11">
        <v>0</v>
      </c>
      <c r="H38" s="11">
        <v>42</v>
      </c>
      <c r="I38" s="11">
        <v>17</v>
      </c>
      <c r="J38" s="11">
        <v>0</v>
      </c>
      <c r="K38" s="11">
        <v>324</v>
      </c>
      <c r="L38" s="12">
        <v>155</v>
      </c>
      <c r="M38" s="20">
        <f>$C38/$L38*G38</f>
        <v>0</v>
      </c>
      <c r="N38" s="20">
        <f>$C38/$L38*H38</f>
        <v>40.645161290322584</v>
      </c>
      <c r="O38" s="20">
        <f>$C38/$L38*I38</f>
        <v>16.451612903225808</v>
      </c>
      <c r="P38" s="20">
        <f>$C38/$L38*J38</f>
        <v>0</v>
      </c>
      <c r="Q38" s="21">
        <f>$C38/$L38*K38*0.3</f>
        <v>94.064516129032256</v>
      </c>
    </row>
    <row r="39" spans="1:17" ht="15.75">
      <c r="B39" s="66"/>
      <c r="C39" s="67"/>
      <c r="O39" s="15"/>
      <c r="P39" s="15"/>
      <c r="Q39" s="15"/>
    </row>
    <row r="40" spans="1:17">
      <c r="O40" s="15"/>
      <c r="P40" s="15"/>
      <c r="Q40" s="15"/>
    </row>
    <row r="41" spans="1:17">
      <c r="B41" s="34" t="s">
        <v>114</v>
      </c>
      <c r="F41" s="46" t="s">
        <v>115</v>
      </c>
      <c r="G41" s="46"/>
      <c r="H41" s="46"/>
      <c r="I41" s="15"/>
      <c r="J41" s="15"/>
    </row>
    <row r="42" spans="1:17">
      <c r="B42" s="17"/>
      <c r="C42" s="25" t="s">
        <v>116</v>
      </c>
      <c r="D42" s="30" t="s">
        <v>117</v>
      </c>
      <c r="E42"/>
      <c r="F42" s="31" t="s">
        <v>118</v>
      </c>
      <c r="G42" s="27"/>
      <c r="H42" s="27"/>
      <c r="I42" s="27"/>
      <c r="J42" s="28"/>
    </row>
    <row r="43" spans="1:17">
      <c r="B43" s="8" t="s">
        <v>119</v>
      </c>
      <c r="C43">
        <v>130</v>
      </c>
      <c r="D43" s="9">
        <f t="shared" ref="D43:D47" si="0">7*C43</f>
        <v>910</v>
      </c>
      <c r="E43"/>
      <c r="F43" s="10">
        <v>910</v>
      </c>
      <c r="G43" s="11">
        <v>322</v>
      </c>
      <c r="H43" s="11">
        <v>362.87439999999998</v>
      </c>
      <c r="I43" s="11">
        <v>196</v>
      </c>
      <c r="J43" s="12">
        <v>5250</v>
      </c>
    </row>
    <row r="44" spans="1:17">
      <c r="B44" s="8" t="s">
        <v>10</v>
      </c>
      <c r="C44">
        <v>46</v>
      </c>
      <c r="D44" s="9">
        <f>7*C44</f>
        <v>322</v>
      </c>
      <c r="E44"/>
    </row>
    <row r="45" spans="1:17">
      <c r="B45" s="8" t="s">
        <v>120</v>
      </c>
      <c r="C45">
        <v>51.839199999999998</v>
      </c>
      <c r="D45" s="9">
        <f t="shared" si="0"/>
        <v>362.87439999999998</v>
      </c>
      <c r="E45"/>
      <c r="F45"/>
    </row>
    <row r="46" spans="1:17">
      <c r="B46" s="8" t="s">
        <v>12</v>
      </c>
      <c r="C46">
        <v>28</v>
      </c>
      <c r="D46" s="9">
        <f t="shared" si="0"/>
        <v>196</v>
      </c>
      <c r="E46"/>
      <c r="F46"/>
    </row>
    <row r="47" spans="1:17">
      <c r="B47" s="10" t="s">
        <v>121</v>
      </c>
      <c r="C47" s="11">
        <v>750</v>
      </c>
      <c r="D47" s="12">
        <f t="shared" si="0"/>
        <v>5250</v>
      </c>
      <c r="E47"/>
      <c r="F47"/>
    </row>
    <row r="49" spans="2:44">
      <c r="B49" s="34" t="s">
        <v>122</v>
      </c>
    </row>
    <row r="50" spans="2:44" ht="20.25" customHeight="1">
      <c r="B50" s="60" t="s">
        <v>123</v>
      </c>
      <c r="C50" s="26">
        <v>5.4</v>
      </c>
      <c r="D50" s="27">
        <v>2.4</v>
      </c>
      <c r="E50" s="27">
        <v>2.93</v>
      </c>
      <c r="F50" s="27">
        <v>2.17</v>
      </c>
      <c r="G50" s="27">
        <v>8.9</v>
      </c>
      <c r="H50" s="27">
        <v>4.2</v>
      </c>
      <c r="I50" s="27"/>
      <c r="J50" s="27">
        <v>1.35</v>
      </c>
      <c r="K50" s="27">
        <v>1.83</v>
      </c>
      <c r="L50" s="27">
        <v>0.95</v>
      </c>
      <c r="M50" s="27">
        <v>3.18</v>
      </c>
      <c r="N50" s="27">
        <v>5.5</v>
      </c>
      <c r="O50" s="27">
        <v>2.4500000000000002</v>
      </c>
      <c r="P50" s="27">
        <v>2.75</v>
      </c>
      <c r="Q50" s="27">
        <v>1.95</v>
      </c>
      <c r="R50" s="27">
        <v>2.85</v>
      </c>
      <c r="S50" s="27"/>
      <c r="T50" s="27"/>
      <c r="U50" s="27"/>
      <c r="V50" s="27">
        <v>8.4</v>
      </c>
      <c r="W50" s="27">
        <v>6.1</v>
      </c>
      <c r="X50" s="27">
        <v>3.63</v>
      </c>
      <c r="Y50" s="27">
        <v>7.45</v>
      </c>
      <c r="Z50" s="27">
        <v>2.85</v>
      </c>
      <c r="AA50" s="27">
        <v>6.65</v>
      </c>
      <c r="AB50" s="27"/>
      <c r="AC50" s="27"/>
      <c r="AD50" s="27">
        <v>11.1</v>
      </c>
      <c r="AE50" s="27">
        <v>3.35</v>
      </c>
      <c r="AF50" s="27">
        <v>22</v>
      </c>
      <c r="AG50" s="27">
        <v>9.75</v>
      </c>
      <c r="AH50" s="27">
        <v>4.1500000000000004</v>
      </c>
      <c r="AI50" s="27">
        <v>3.35</v>
      </c>
      <c r="AJ50" s="27">
        <v>7.16</v>
      </c>
      <c r="AK50" s="27">
        <v>7.9</v>
      </c>
      <c r="AL50" s="27">
        <v>6.6</v>
      </c>
      <c r="AM50" s="27">
        <v>9.6300000000000008</v>
      </c>
      <c r="AN50" s="28">
        <v>6.91</v>
      </c>
      <c r="AQ50" s="5"/>
      <c r="AR50" s="5"/>
    </row>
    <row r="52" spans="2:44" ht="15.75">
      <c r="B52" s="33" t="s">
        <v>124</v>
      </c>
      <c r="C52" s="25"/>
      <c r="D52" s="29"/>
      <c r="E52" s="29"/>
      <c r="F52" s="30"/>
      <c r="H52" s="37" t="s">
        <v>125</v>
      </c>
      <c r="I52" s="37"/>
      <c r="J52" s="37"/>
    </row>
    <row r="53" spans="2:44">
      <c r="B53" s="6" t="s">
        <v>9</v>
      </c>
      <c r="C53" s="1" t="s">
        <v>10</v>
      </c>
      <c r="D53" s="1" t="s">
        <v>11</v>
      </c>
      <c r="E53" s="1" t="s">
        <v>12</v>
      </c>
      <c r="F53" s="32" t="s">
        <v>15</v>
      </c>
      <c r="H53" s="22" t="s">
        <v>126</v>
      </c>
      <c r="I53" s="25" t="s">
        <v>119</v>
      </c>
      <c r="J53" s="18">
        <v>578.25</v>
      </c>
      <c r="K53" s="18">
        <v>142.85714285714286</v>
      </c>
      <c r="L53" s="18">
        <v>96</v>
      </c>
      <c r="M53" s="18">
        <v>181.2</v>
      </c>
      <c r="N53" s="18">
        <v>160</v>
      </c>
      <c r="O53" s="18">
        <v>226.8</v>
      </c>
      <c r="P53" s="18"/>
      <c r="Q53" s="18">
        <v>0</v>
      </c>
      <c r="R53" s="18">
        <v>0</v>
      </c>
      <c r="S53" s="18">
        <v>0</v>
      </c>
      <c r="T53" s="18">
        <v>0</v>
      </c>
      <c r="U53" s="18">
        <v>97.560975609756099</v>
      </c>
      <c r="V53" s="18">
        <v>16.666666666666668</v>
      </c>
      <c r="W53" s="18">
        <v>4.4444444444444446</v>
      </c>
      <c r="X53" s="18">
        <v>28</v>
      </c>
      <c r="Y53" s="18">
        <v>0</v>
      </c>
      <c r="Z53" s="18"/>
      <c r="AA53" s="18">
        <v>74.889867841409682</v>
      </c>
      <c r="AB53" s="18">
        <v>98.214285714285722</v>
      </c>
      <c r="AC53" s="18">
        <v>46.455357142857139</v>
      </c>
      <c r="AD53" s="18">
        <v>8.9285714285714288</v>
      </c>
      <c r="AE53" s="18">
        <v>12.5</v>
      </c>
      <c r="AF53" s="18">
        <v>37.5</v>
      </c>
      <c r="AG53" s="18"/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9">
        <v>0</v>
      </c>
    </row>
    <row r="54" spans="2:44">
      <c r="B54" s="8">
        <v>578.25</v>
      </c>
      <c r="C54">
        <v>55.5</v>
      </c>
      <c r="D54" s="5">
        <v>16.5</v>
      </c>
      <c r="E54">
        <v>18.75</v>
      </c>
      <c r="F54" s="9">
        <v>0</v>
      </c>
      <c r="H54" s="23" t="s">
        <v>127</v>
      </c>
      <c r="I54" t="s">
        <v>10</v>
      </c>
      <c r="J54" s="15">
        <v>55.5</v>
      </c>
      <c r="K54" s="15">
        <v>25</v>
      </c>
      <c r="L54" s="15">
        <v>60</v>
      </c>
      <c r="M54" s="15">
        <v>29.400000000000002</v>
      </c>
      <c r="N54" s="15">
        <v>30</v>
      </c>
      <c r="O54" s="15">
        <v>46.800000000000004</v>
      </c>
      <c r="P54" s="15"/>
      <c r="Q54" s="15">
        <v>5.5555555555555554</v>
      </c>
      <c r="R54" s="15">
        <v>5.2941176470588234</v>
      </c>
      <c r="S54" s="15">
        <v>6.4102564102564106</v>
      </c>
      <c r="T54" s="15">
        <v>8.0128205128205128</v>
      </c>
      <c r="U54" s="15">
        <v>15.24390243902439</v>
      </c>
      <c r="V54" s="15">
        <v>8.3333333333333339</v>
      </c>
      <c r="W54" s="15">
        <v>2.7777777777777777</v>
      </c>
      <c r="X54" s="15">
        <v>8</v>
      </c>
      <c r="Y54" s="15">
        <v>14.545454545454545</v>
      </c>
      <c r="Z54" s="15"/>
      <c r="AA54" s="15">
        <v>57.268722466960348</v>
      </c>
      <c r="AB54" s="15">
        <v>71.428571428571431</v>
      </c>
      <c r="AC54" s="15">
        <v>33.785714285714285</v>
      </c>
      <c r="AD54" s="15">
        <v>17.857142857142858</v>
      </c>
      <c r="AE54" s="15">
        <v>62.5</v>
      </c>
      <c r="AF54" s="15">
        <v>187.5</v>
      </c>
      <c r="AG54" s="15"/>
      <c r="AH54" s="15">
        <v>324</v>
      </c>
      <c r="AI54" s="15">
        <v>54</v>
      </c>
      <c r="AJ54" s="15">
        <v>297</v>
      </c>
      <c r="AK54" s="15">
        <v>283.5</v>
      </c>
      <c r="AL54" s="15">
        <v>54</v>
      </c>
      <c r="AM54" s="15">
        <v>26</v>
      </c>
      <c r="AN54" s="15">
        <v>70</v>
      </c>
      <c r="AO54" s="15">
        <v>70</v>
      </c>
      <c r="AP54" s="15">
        <v>84.705882352941174</v>
      </c>
      <c r="AQ54" s="15">
        <v>91.764705882352942</v>
      </c>
      <c r="AR54" s="16">
        <v>40.645161290322584</v>
      </c>
    </row>
    <row r="55" spans="2:44">
      <c r="B55" s="8">
        <v>142.85714285714286</v>
      </c>
      <c r="C55">
        <v>25</v>
      </c>
      <c r="D55">
        <v>3.5714285714285716</v>
      </c>
      <c r="E55">
        <v>8.5714285714285712</v>
      </c>
      <c r="F55" s="9">
        <v>0</v>
      </c>
      <c r="H55" s="23"/>
      <c r="I55" t="s">
        <v>120</v>
      </c>
      <c r="J55" s="15">
        <v>16.5</v>
      </c>
      <c r="K55" s="15">
        <v>3.5714285714285716</v>
      </c>
      <c r="L55" s="15">
        <v>0</v>
      </c>
      <c r="M55" s="15">
        <v>78</v>
      </c>
      <c r="N55" s="15">
        <v>0</v>
      </c>
      <c r="O55" s="15">
        <v>86.4</v>
      </c>
      <c r="P55" s="15"/>
      <c r="Q55" s="15">
        <v>0</v>
      </c>
      <c r="R55" s="15">
        <v>0</v>
      </c>
      <c r="S55" s="15">
        <v>0</v>
      </c>
      <c r="T55" s="15">
        <v>1.6025641025641026</v>
      </c>
      <c r="U55" s="15">
        <v>3.0487804878048781</v>
      </c>
      <c r="V55" s="15">
        <v>0</v>
      </c>
      <c r="W55" s="15">
        <v>0.55555555555555558</v>
      </c>
      <c r="X55" s="15">
        <v>4</v>
      </c>
      <c r="Y55" s="15">
        <v>0</v>
      </c>
      <c r="Z55" s="15"/>
      <c r="AA55" s="15">
        <v>0</v>
      </c>
      <c r="AB55" s="15">
        <v>71.428571428571431</v>
      </c>
      <c r="AC55" s="15">
        <v>33.785714285714285</v>
      </c>
      <c r="AD55" s="15">
        <v>89.285714285714292</v>
      </c>
      <c r="AE55" s="15">
        <v>50</v>
      </c>
      <c r="AF55" s="15">
        <v>150</v>
      </c>
      <c r="AG55" s="15"/>
      <c r="AH55" s="15">
        <v>72</v>
      </c>
      <c r="AI55" s="15">
        <v>6</v>
      </c>
      <c r="AJ55" s="15">
        <v>66</v>
      </c>
      <c r="AK55" s="15">
        <v>63</v>
      </c>
      <c r="AL55" s="15">
        <v>12</v>
      </c>
      <c r="AM55" s="15">
        <v>6</v>
      </c>
      <c r="AN55" s="15">
        <v>27.5</v>
      </c>
      <c r="AO55" s="15">
        <v>27.5</v>
      </c>
      <c r="AP55" s="15">
        <v>38.823529411764703</v>
      </c>
      <c r="AQ55" s="15">
        <v>24.705882352941174</v>
      </c>
      <c r="AR55" s="16">
        <v>16.451612903225808</v>
      </c>
    </row>
    <row r="56" spans="2:44">
      <c r="B56" s="8">
        <v>96</v>
      </c>
      <c r="C56">
        <v>60</v>
      </c>
      <c r="D56">
        <v>0</v>
      </c>
      <c r="E56">
        <v>0</v>
      </c>
      <c r="F56" s="9">
        <v>0</v>
      </c>
      <c r="H56" s="23"/>
      <c r="I56" t="s">
        <v>12</v>
      </c>
      <c r="J56" s="15">
        <v>18.75</v>
      </c>
      <c r="K56" s="15">
        <v>8.5714285714285712</v>
      </c>
      <c r="L56" s="15">
        <v>0</v>
      </c>
      <c r="M56" s="15">
        <v>7.1999999999999993</v>
      </c>
      <c r="N56" s="15">
        <v>6</v>
      </c>
      <c r="O56" s="15">
        <v>0</v>
      </c>
      <c r="P56" s="15"/>
      <c r="Q56" s="15">
        <v>4.7777777777777777</v>
      </c>
      <c r="R56" s="15">
        <v>4.7647058823529411</v>
      </c>
      <c r="S56" s="15">
        <v>16.346153846153847</v>
      </c>
      <c r="T56" s="15">
        <v>7.2115384615384617</v>
      </c>
      <c r="U56" s="15">
        <v>11.890243902439025</v>
      </c>
      <c r="V56" s="15">
        <v>12.5</v>
      </c>
      <c r="W56" s="15">
        <v>1.6111111111111112</v>
      </c>
      <c r="X56" s="15">
        <v>14</v>
      </c>
      <c r="Y56" s="15">
        <v>1.4545454545454546</v>
      </c>
      <c r="Z56" s="15"/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/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6">
        <v>0</v>
      </c>
    </row>
    <row r="57" spans="2:44">
      <c r="B57" s="8">
        <v>181.2</v>
      </c>
      <c r="C57">
        <v>29.400000000000002</v>
      </c>
      <c r="D57">
        <v>78</v>
      </c>
      <c r="E57">
        <v>7.1999999999999993</v>
      </c>
      <c r="F57" s="9">
        <v>0</v>
      </c>
      <c r="H57" s="24"/>
      <c r="I57" s="11" t="s">
        <v>121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4914</v>
      </c>
      <c r="R57" s="20">
        <v>2311.411764705882</v>
      </c>
      <c r="S57" s="20">
        <v>36830.769230769234</v>
      </c>
      <c r="T57" s="20">
        <v>1040.8653846153845</v>
      </c>
      <c r="U57" s="20">
        <v>330.1829268292683</v>
      </c>
      <c r="V57" s="20">
        <v>22.5</v>
      </c>
      <c r="W57" s="20">
        <v>161.66666666666666</v>
      </c>
      <c r="X57" s="20">
        <v>237.6</v>
      </c>
      <c r="Y57" s="20">
        <v>318.5454545454545</v>
      </c>
      <c r="Z57" s="20"/>
      <c r="AA57" s="20">
        <v>21.145374449339204</v>
      </c>
      <c r="AB57" s="20">
        <v>822.32142857142856</v>
      </c>
      <c r="AC57" s="20">
        <v>388.9580357142857</v>
      </c>
      <c r="AD57" s="20">
        <v>1084.8214285714287</v>
      </c>
      <c r="AE57" s="20">
        <v>1046.25</v>
      </c>
      <c r="AF57" s="20">
        <v>3138.75</v>
      </c>
      <c r="AG57" s="20"/>
      <c r="AH57" s="20">
        <v>3.5999999999999996</v>
      </c>
      <c r="AI57" s="20">
        <v>0.6</v>
      </c>
      <c r="AJ57" s="20">
        <v>3.3</v>
      </c>
      <c r="AK57" s="20">
        <v>3.15</v>
      </c>
      <c r="AL57" s="20">
        <v>0.6</v>
      </c>
      <c r="AM57" s="20">
        <v>0.6</v>
      </c>
      <c r="AN57" s="20">
        <v>2.25</v>
      </c>
      <c r="AO57" s="20">
        <v>2.25</v>
      </c>
      <c r="AP57" s="20">
        <v>8.4705882352941178</v>
      </c>
      <c r="AQ57" s="20">
        <v>7.4117647058823515</v>
      </c>
      <c r="AR57" s="21">
        <v>94.064516129032256</v>
      </c>
    </row>
    <row r="58" spans="2:44">
      <c r="B58" s="8">
        <v>160</v>
      </c>
      <c r="C58">
        <v>30</v>
      </c>
      <c r="D58">
        <v>0</v>
      </c>
      <c r="E58">
        <v>6</v>
      </c>
      <c r="F58" s="9">
        <v>0</v>
      </c>
    </row>
    <row r="59" spans="2:44">
      <c r="B59" s="8">
        <v>226.8</v>
      </c>
      <c r="C59">
        <v>46.800000000000004</v>
      </c>
      <c r="D59">
        <v>86.4</v>
      </c>
      <c r="E59">
        <v>0</v>
      </c>
      <c r="F59" s="9">
        <v>0</v>
      </c>
    </row>
    <row r="60" spans="2:44">
      <c r="B60" s="8"/>
      <c r="D60"/>
      <c r="E60"/>
      <c r="F60" s="9"/>
    </row>
    <row r="61" spans="2:44">
      <c r="B61" s="8">
        <v>0</v>
      </c>
      <c r="C61">
        <v>5.5555555555555554</v>
      </c>
      <c r="D61">
        <v>0</v>
      </c>
      <c r="E61">
        <v>4.7777777777777777</v>
      </c>
      <c r="F61" s="9">
        <v>4914</v>
      </c>
    </row>
    <row r="62" spans="2:44">
      <c r="B62" s="8">
        <v>0</v>
      </c>
      <c r="C62">
        <v>5.2941176470588234</v>
      </c>
      <c r="D62">
        <v>0</v>
      </c>
      <c r="E62">
        <v>4.7647058823529411</v>
      </c>
      <c r="F62" s="9">
        <v>2311.411764705882</v>
      </c>
    </row>
    <row r="63" spans="2:44">
      <c r="B63" s="8">
        <v>0</v>
      </c>
      <c r="C63">
        <v>6.4102564102564106</v>
      </c>
      <c r="D63">
        <v>0</v>
      </c>
      <c r="E63">
        <v>16.346153846153847</v>
      </c>
      <c r="F63" s="9">
        <v>36830.769230769234</v>
      </c>
    </row>
    <row r="64" spans="2:44">
      <c r="B64" s="8">
        <v>0</v>
      </c>
      <c r="C64">
        <v>8.0128205128205128</v>
      </c>
      <c r="D64">
        <v>1.6025641025641026</v>
      </c>
      <c r="E64">
        <v>7.2115384615384617</v>
      </c>
      <c r="F64" s="9">
        <v>1040.8653846153845</v>
      </c>
    </row>
    <row r="65" spans="2:6">
      <c r="B65" s="8">
        <v>97.560975609756099</v>
      </c>
      <c r="C65">
        <v>15.24390243902439</v>
      </c>
      <c r="D65">
        <v>3.0487804878048781</v>
      </c>
      <c r="E65">
        <v>11.890243902439025</v>
      </c>
      <c r="F65" s="9">
        <v>330.1829268292683</v>
      </c>
    </row>
    <row r="66" spans="2:6">
      <c r="B66" s="8">
        <v>16.666666666666668</v>
      </c>
      <c r="C66">
        <v>8.3333333333333339</v>
      </c>
      <c r="D66">
        <v>0</v>
      </c>
      <c r="E66">
        <v>12.5</v>
      </c>
      <c r="F66" s="9">
        <v>22.5</v>
      </c>
    </row>
    <row r="67" spans="2:6">
      <c r="B67" s="8">
        <v>4.4444444444444446</v>
      </c>
      <c r="C67">
        <v>2.7777777777777777</v>
      </c>
      <c r="D67">
        <v>0.55555555555555558</v>
      </c>
      <c r="E67">
        <v>1.6111111111111112</v>
      </c>
      <c r="F67" s="9">
        <v>161.66666666666666</v>
      </c>
    </row>
    <row r="68" spans="2:6">
      <c r="B68" s="8">
        <v>28</v>
      </c>
      <c r="C68">
        <v>8</v>
      </c>
      <c r="D68">
        <v>4</v>
      </c>
      <c r="E68">
        <v>14</v>
      </c>
      <c r="F68" s="9">
        <v>237.6</v>
      </c>
    </row>
    <row r="69" spans="2:6">
      <c r="B69" s="8">
        <v>0</v>
      </c>
      <c r="C69">
        <v>14.545454545454545</v>
      </c>
      <c r="D69">
        <v>0</v>
      </c>
      <c r="E69">
        <v>1.4545454545454546</v>
      </c>
      <c r="F69" s="9">
        <v>318.5454545454545</v>
      </c>
    </row>
    <row r="70" spans="2:6">
      <c r="B70" s="8"/>
      <c r="D70"/>
      <c r="E70"/>
      <c r="F70" s="9"/>
    </row>
    <row r="71" spans="2:6">
      <c r="B71" s="8">
        <v>74.889867841409682</v>
      </c>
      <c r="C71">
        <v>57.268722466960348</v>
      </c>
      <c r="D71">
        <v>0</v>
      </c>
      <c r="E71">
        <v>0</v>
      </c>
      <c r="F71" s="9">
        <v>21.145374449339204</v>
      </c>
    </row>
    <row r="72" spans="2:6">
      <c r="B72" s="8">
        <v>98.214285714285722</v>
      </c>
      <c r="C72">
        <v>71.428571428571431</v>
      </c>
      <c r="D72">
        <v>71.428571428571431</v>
      </c>
      <c r="E72">
        <v>0</v>
      </c>
      <c r="F72" s="9">
        <v>822.32142857142856</v>
      </c>
    </row>
    <row r="73" spans="2:6">
      <c r="B73" s="8">
        <v>46.455357142857139</v>
      </c>
      <c r="C73">
        <v>33.785714285714285</v>
      </c>
      <c r="D73">
        <v>33.785714285714285</v>
      </c>
      <c r="E73">
        <v>0</v>
      </c>
      <c r="F73" s="9">
        <v>388.9580357142857</v>
      </c>
    </row>
    <row r="74" spans="2:6">
      <c r="B74" s="8">
        <v>8.9285714285714288</v>
      </c>
      <c r="C74">
        <v>17.857142857142858</v>
      </c>
      <c r="D74">
        <v>89.285714285714292</v>
      </c>
      <c r="E74">
        <v>0</v>
      </c>
      <c r="F74" s="9">
        <v>1084.8214285714287</v>
      </c>
    </row>
    <row r="75" spans="2:6">
      <c r="B75" s="8">
        <v>12.5</v>
      </c>
      <c r="C75">
        <v>62.5</v>
      </c>
      <c r="D75">
        <v>50</v>
      </c>
      <c r="E75">
        <v>0</v>
      </c>
      <c r="F75" s="9">
        <v>1046.25</v>
      </c>
    </row>
    <row r="76" spans="2:6">
      <c r="B76" s="8">
        <v>37.5</v>
      </c>
      <c r="C76">
        <v>187.5</v>
      </c>
      <c r="D76">
        <v>150</v>
      </c>
      <c r="E76">
        <v>0</v>
      </c>
      <c r="F76" s="9">
        <v>3138.75</v>
      </c>
    </row>
    <row r="77" spans="2:6">
      <c r="B77" s="8"/>
      <c r="D77"/>
      <c r="E77"/>
      <c r="F77" s="9"/>
    </row>
    <row r="78" spans="2:6">
      <c r="B78" s="8">
        <v>0</v>
      </c>
      <c r="C78">
        <v>324</v>
      </c>
      <c r="D78">
        <v>72</v>
      </c>
      <c r="E78">
        <v>0</v>
      </c>
      <c r="F78" s="9">
        <v>3.5999999999999996</v>
      </c>
    </row>
    <row r="79" spans="2:6">
      <c r="B79" s="8">
        <v>0</v>
      </c>
      <c r="C79">
        <v>54</v>
      </c>
      <c r="D79">
        <v>6</v>
      </c>
      <c r="E79">
        <v>0</v>
      </c>
      <c r="F79" s="9">
        <v>0.6</v>
      </c>
    </row>
    <row r="80" spans="2:6">
      <c r="B80" s="8">
        <v>0</v>
      </c>
      <c r="C80">
        <v>297</v>
      </c>
      <c r="D80">
        <v>66</v>
      </c>
      <c r="E80">
        <v>0</v>
      </c>
      <c r="F80" s="9">
        <v>3.3</v>
      </c>
    </row>
    <row r="81" spans="2:6">
      <c r="B81" s="8">
        <v>0</v>
      </c>
      <c r="C81">
        <v>283.5</v>
      </c>
      <c r="D81">
        <v>63</v>
      </c>
      <c r="E81">
        <v>0</v>
      </c>
      <c r="F81" s="9">
        <v>3.15</v>
      </c>
    </row>
    <row r="82" spans="2:6">
      <c r="B82" s="8">
        <v>0</v>
      </c>
      <c r="C82">
        <v>54</v>
      </c>
      <c r="D82">
        <v>12</v>
      </c>
      <c r="E82">
        <v>0</v>
      </c>
      <c r="F82" s="9">
        <v>0.6</v>
      </c>
    </row>
    <row r="83" spans="2:6">
      <c r="B83" s="8">
        <v>0</v>
      </c>
      <c r="C83">
        <v>26</v>
      </c>
      <c r="D83">
        <v>6</v>
      </c>
      <c r="E83">
        <v>0</v>
      </c>
      <c r="F83" s="9">
        <v>0.6</v>
      </c>
    </row>
    <row r="84" spans="2:6">
      <c r="B84" s="8">
        <v>0</v>
      </c>
      <c r="C84">
        <v>70</v>
      </c>
      <c r="D84">
        <v>27.5</v>
      </c>
      <c r="E84">
        <v>0</v>
      </c>
      <c r="F84" s="9">
        <v>2.25</v>
      </c>
    </row>
    <row r="85" spans="2:6">
      <c r="B85" s="8">
        <v>0</v>
      </c>
      <c r="C85">
        <v>70</v>
      </c>
      <c r="D85">
        <v>27.5</v>
      </c>
      <c r="E85">
        <v>0</v>
      </c>
      <c r="F85" s="9">
        <v>2.25</v>
      </c>
    </row>
    <row r="86" spans="2:6">
      <c r="B86" s="8">
        <v>0</v>
      </c>
      <c r="C86">
        <v>84.705882352941174</v>
      </c>
      <c r="D86">
        <v>38.823529411764703</v>
      </c>
      <c r="E86">
        <v>0</v>
      </c>
      <c r="F86" s="9">
        <v>8.4705882352941178</v>
      </c>
    </row>
    <row r="87" spans="2:6">
      <c r="B87" s="8">
        <v>0</v>
      </c>
      <c r="C87">
        <v>91.764705882352942</v>
      </c>
      <c r="D87">
        <v>24.705882352941174</v>
      </c>
      <c r="E87">
        <v>0</v>
      </c>
      <c r="F87" s="9">
        <v>7.4117647058823515</v>
      </c>
    </row>
    <row r="88" spans="2:6">
      <c r="B88" s="10">
        <v>0</v>
      </c>
      <c r="C88" s="11">
        <v>40.645161290322584</v>
      </c>
      <c r="D88" s="11">
        <v>16.451612903225808</v>
      </c>
      <c r="E88" s="11">
        <v>0</v>
      </c>
      <c r="F88" s="12">
        <v>94.064516129032256</v>
      </c>
    </row>
    <row r="89" spans="2:6">
      <c r="D89"/>
      <c r="E89"/>
      <c r="F89"/>
    </row>
    <row r="90" spans="2:6">
      <c r="D90"/>
      <c r="E90"/>
      <c r="F90"/>
    </row>
    <row r="91" spans="2:6">
      <c r="D91"/>
      <c r="E91"/>
      <c r="F91"/>
    </row>
    <row r="92" spans="2:6">
      <c r="D92"/>
      <c r="E92"/>
      <c r="F92"/>
    </row>
    <row r="93" spans="2:6">
      <c r="D93"/>
      <c r="E93"/>
      <c r="F93"/>
    </row>
    <row r="94" spans="2:6">
      <c r="D94"/>
      <c r="E94"/>
      <c r="F94"/>
    </row>
  </sheetData>
  <mergeCells count="11">
    <mergeCell ref="H52:J52"/>
    <mergeCell ref="G2:L2"/>
    <mergeCell ref="M2:Q2"/>
    <mergeCell ref="E2:E3"/>
    <mergeCell ref="F2:F3"/>
    <mergeCell ref="A2:A3"/>
    <mergeCell ref="B2:B3"/>
    <mergeCell ref="C2:C3"/>
    <mergeCell ref="D2:D3"/>
    <mergeCell ref="B39:C39"/>
    <mergeCell ref="F41:H41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1"/>
  <sheetViews>
    <sheetView workbookViewId="0">
      <pane ySplit="2" topLeftCell="C17" activePane="bottomLeft" state="frozen"/>
      <selection pane="bottomLeft" activeCell="D44" sqref="D44"/>
    </sheetView>
  </sheetViews>
  <sheetFormatPr defaultRowHeight="15"/>
  <cols>
    <col min="1" max="1" width="13" customWidth="1"/>
    <col min="2" max="2" width="42.42578125" bestFit="1" customWidth="1"/>
    <col min="3" max="3" width="19.42578125" bestFit="1" customWidth="1"/>
    <col min="4" max="4" width="13.7109375" style="5" customWidth="1"/>
    <col min="5" max="5" width="13.5703125" bestFit="1" customWidth="1"/>
    <col min="8" max="8" width="11.28515625" customWidth="1"/>
    <col min="9" max="9" width="15" bestFit="1" customWidth="1"/>
    <col min="10" max="10" width="15.5703125" customWidth="1"/>
    <col min="11" max="11" width="14" bestFit="1" customWidth="1"/>
    <col min="14" max="14" width="7.140625" bestFit="1" customWidth="1"/>
    <col min="15" max="15" width="15.42578125" bestFit="1" customWidth="1"/>
    <col min="17" max="17" width="9.28515625" bestFit="1" customWidth="1"/>
  </cols>
  <sheetData>
    <row r="1" spans="1:16" s="1" customFormat="1">
      <c r="A1" s="44" t="s">
        <v>1</v>
      </c>
      <c r="B1" s="44" t="s">
        <v>2</v>
      </c>
      <c r="C1" s="44" t="s">
        <v>3</v>
      </c>
      <c r="D1" s="45" t="s">
        <v>4</v>
      </c>
      <c r="E1" s="38" t="s">
        <v>7</v>
      </c>
      <c r="F1" s="39"/>
      <c r="G1" s="39"/>
      <c r="H1" s="39"/>
      <c r="I1" s="39"/>
      <c r="J1" s="40"/>
      <c r="K1" s="39" t="s">
        <v>8</v>
      </c>
      <c r="L1" s="39"/>
      <c r="M1" s="39"/>
      <c r="N1" s="39"/>
      <c r="O1" s="40"/>
      <c r="P1" s="2"/>
    </row>
    <row r="2" spans="1:16" s="1" customFormat="1">
      <c r="A2" s="44"/>
      <c r="B2" s="44"/>
      <c r="C2" s="44"/>
      <c r="D2" s="45"/>
      <c r="E2" s="6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3" t="s">
        <v>14</v>
      </c>
      <c r="K2" s="1" t="s">
        <v>9</v>
      </c>
      <c r="L2" s="1" t="s">
        <v>10</v>
      </c>
      <c r="M2" s="1" t="s">
        <v>11</v>
      </c>
      <c r="N2" s="1" t="s">
        <v>12</v>
      </c>
      <c r="O2" s="7" t="s">
        <v>15</v>
      </c>
    </row>
    <row r="3" spans="1:16">
      <c r="A3" t="s">
        <v>16</v>
      </c>
      <c r="B3" t="s">
        <v>17</v>
      </c>
      <c r="C3">
        <v>750</v>
      </c>
      <c r="D3" s="4">
        <v>5.4</v>
      </c>
      <c r="E3" s="14">
        <v>77.099999999999994</v>
      </c>
      <c r="F3">
        <v>7.4</v>
      </c>
      <c r="G3">
        <v>2.2000000000000002</v>
      </c>
      <c r="H3">
        <v>2.5</v>
      </c>
      <c r="I3">
        <v>0</v>
      </c>
      <c r="J3" s="9">
        <v>100</v>
      </c>
      <c r="K3" s="15">
        <f>$C3/$J3*E3</f>
        <v>578.25</v>
      </c>
      <c r="L3" s="15">
        <f>$C3/$J3*F3</f>
        <v>55.5</v>
      </c>
      <c r="M3" s="15">
        <f>$C3/$J3*G3</f>
        <v>16.5</v>
      </c>
      <c r="N3" s="15">
        <f>$C3/$J3*H3</f>
        <v>18.75</v>
      </c>
      <c r="O3" s="16">
        <f>$C3/$J3*I3*0.3</f>
        <v>0</v>
      </c>
    </row>
    <row r="4" spans="1:16">
      <c r="B4" t="s">
        <v>20</v>
      </c>
      <c r="C4">
        <v>500</v>
      </c>
      <c r="D4" s="5">
        <v>2.4</v>
      </c>
      <c r="E4" s="8">
        <v>40</v>
      </c>
      <c r="F4">
        <v>7</v>
      </c>
      <c r="G4">
        <v>1</v>
      </c>
      <c r="H4">
        <v>2.4</v>
      </c>
      <c r="I4">
        <v>0</v>
      </c>
      <c r="J4" s="9">
        <v>140</v>
      </c>
      <c r="K4" s="15">
        <f>$C4/$J4*E4</f>
        <v>142.85714285714286</v>
      </c>
      <c r="L4" s="15">
        <f>$C4/$J4*F4</f>
        <v>25</v>
      </c>
      <c r="M4" s="15">
        <f>$C4/$J4*G4</f>
        <v>3.5714285714285716</v>
      </c>
      <c r="N4" s="15">
        <f>$C4/$J4*H4</f>
        <v>8.5714285714285712</v>
      </c>
      <c r="O4" s="16">
        <f>$C4/$J4*I4*0.3</f>
        <v>0</v>
      </c>
    </row>
    <row r="5" spans="1:16">
      <c r="B5" t="s">
        <v>23</v>
      </c>
      <c r="C5">
        <v>600</v>
      </c>
      <c r="D5" s="5">
        <v>2.93</v>
      </c>
      <c r="E5" s="8">
        <v>16</v>
      </c>
      <c r="F5">
        <v>10</v>
      </c>
      <c r="G5">
        <v>0</v>
      </c>
      <c r="H5">
        <v>0</v>
      </c>
      <c r="I5">
        <v>0</v>
      </c>
      <c r="J5" s="9">
        <v>100</v>
      </c>
      <c r="K5" s="15">
        <f>$C5/$J5*E5</f>
        <v>96</v>
      </c>
      <c r="L5" s="15">
        <f>$C5/$J5*F5</f>
        <v>60</v>
      </c>
      <c r="M5" s="15">
        <f>$C5/$J5*G5</f>
        <v>0</v>
      </c>
      <c r="N5" s="15">
        <f>$C5/$J5*H5</f>
        <v>0</v>
      </c>
      <c r="O5" s="16">
        <f>$C5/$J5*I5*0.3</f>
        <v>0</v>
      </c>
    </row>
    <row r="6" spans="1:16">
      <c r="B6" s="3" t="s">
        <v>26</v>
      </c>
      <c r="C6">
        <v>480</v>
      </c>
      <c r="D6" s="5">
        <v>2.17</v>
      </c>
      <c r="E6" s="8">
        <v>30.2</v>
      </c>
      <c r="F6">
        <v>4.9000000000000004</v>
      </c>
      <c r="G6">
        <v>13</v>
      </c>
      <c r="H6">
        <v>1.2</v>
      </c>
      <c r="I6">
        <v>0</v>
      </c>
      <c r="J6" s="9">
        <v>80</v>
      </c>
      <c r="K6" s="15">
        <f>$C6/$J6*E6</f>
        <v>181.2</v>
      </c>
      <c r="L6" s="15">
        <f>$C6/$J6*F6</f>
        <v>29.400000000000002</v>
      </c>
      <c r="M6" s="15">
        <f>$C6/$J6*G6</f>
        <v>78</v>
      </c>
      <c r="N6" s="15">
        <f>$C6/$J6*H6</f>
        <v>7.1999999999999993</v>
      </c>
      <c r="O6" s="16">
        <f>$C6/$J6*I6*0.3</f>
        <v>0</v>
      </c>
    </row>
    <row r="7" spans="1:16">
      <c r="B7" t="s">
        <v>29</v>
      </c>
      <c r="C7">
        <v>280</v>
      </c>
      <c r="D7" s="5">
        <v>8.9</v>
      </c>
      <c r="E7" s="8">
        <v>16</v>
      </c>
      <c r="F7">
        <v>3</v>
      </c>
      <c r="G7">
        <v>0</v>
      </c>
      <c r="H7">
        <v>0.6</v>
      </c>
      <c r="I7">
        <v>0</v>
      </c>
      <c r="J7" s="9">
        <v>28</v>
      </c>
      <c r="K7" s="15">
        <f>$C7/$J7*E7</f>
        <v>160</v>
      </c>
      <c r="L7" s="15">
        <f>$C7/$J7*F7</f>
        <v>30</v>
      </c>
      <c r="M7" s="15">
        <f>$C7/$J7*G7</f>
        <v>0</v>
      </c>
      <c r="N7" s="15">
        <f>$C7/$J7*H7</f>
        <v>6</v>
      </c>
      <c r="O7" s="16">
        <f>$C7/$J7*I7*0.3</f>
        <v>0</v>
      </c>
    </row>
    <row r="8" spans="1:16">
      <c r="B8" s="3" t="s">
        <v>32</v>
      </c>
      <c r="C8">
        <v>360</v>
      </c>
      <c r="D8" s="5">
        <v>4.2</v>
      </c>
      <c r="E8" s="8">
        <v>63</v>
      </c>
      <c r="F8">
        <v>13</v>
      </c>
      <c r="G8">
        <v>24</v>
      </c>
      <c r="H8">
        <v>0</v>
      </c>
      <c r="I8">
        <v>0</v>
      </c>
      <c r="J8" s="9">
        <v>100</v>
      </c>
      <c r="K8" s="15">
        <f>$C8/$J8*E8</f>
        <v>226.8</v>
      </c>
      <c r="L8" s="15">
        <f>$C8/$J8*F8</f>
        <v>46.800000000000004</v>
      </c>
      <c r="M8" s="15">
        <f>$C8/$J8*G8</f>
        <v>86.4</v>
      </c>
      <c r="N8" s="15">
        <f>$C8/$J8*H8</f>
        <v>0</v>
      </c>
      <c r="O8" s="16">
        <f>$C8/$J8*I8*0.3</f>
        <v>0</v>
      </c>
    </row>
    <row r="9" spans="1:16">
      <c r="B9" s="3"/>
      <c r="E9" s="8"/>
      <c r="J9" s="9"/>
      <c r="K9" s="15"/>
      <c r="L9" s="15"/>
      <c r="M9" s="15"/>
      <c r="N9" s="15"/>
      <c r="O9" s="16"/>
    </row>
    <row r="10" spans="1:16">
      <c r="A10" t="s">
        <v>35</v>
      </c>
      <c r="B10" s="3" t="s">
        <v>128</v>
      </c>
      <c r="C10">
        <v>200</v>
      </c>
      <c r="D10" s="5">
        <v>1.35</v>
      </c>
      <c r="E10" s="8">
        <v>0</v>
      </c>
      <c r="F10">
        <v>5</v>
      </c>
      <c r="G10">
        <v>0</v>
      </c>
      <c r="H10">
        <v>4.3</v>
      </c>
      <c r="I10">
        <v>14742</v>
      </c>
      <c r="J10" s="9">
        <v>180</v>
      </c>
      <c r="K10" s="15">
        <f>$C10/$J10*E10</f>
        <v>0</v>
      </c>
      <c r="L10" s="15">
        <f>$C10/$J10*F10</f>
        <v>5.5555555555555554</v>
      </c>
      <c r="M10" s="15">
        <f>$C10/$J10*G10</f>
        <v>0</v>
      </c>
      <c r="N10" s="15">
        <f>$C10/$J10*H10</f>
        <v>4.7777777777777777</v>
      </c>
      <c r="O10" s="16">
        <f>$C10/$J10*I10*0.3</f>
        <v>4914</v>
      </c>
    </row>
    <row r="11" spans="1:16">
      <c r="B11" t="s">
        <v>38</v>
      </c>
      <c r="C11">
        <v>300</v>
      </c>
      <c r="D11" s="5">
        <v>1.83</v>
      </c>
      <c r="E11" s="8">
        <v>0</v>
      </c>
      <c r="F11">
        <v>3</v>
      </c>
      <c r="G11">
        <v>0</v>
      </c>
      <c r="H11">
        <v>2.7</v>
      </c>
      <c r="I11">
        <v>4366</v>
      </c>
      <c r="J11" s="9">
        <v>170</v>
      </c>
      <c r="K11" s="15">
        <f>$C11/$J11*E11</f>
        <v>0</v>
      </c>
      <c r="L11" s="15">
        <f>$C11/$J11*F11</f>
        <v>5.2941176470588234</v>
      </c>
      <c r="M11" s="15">
        <f>$C11/$J11*G11</f>
        <v>0</v>
      </c>
      <c r="N11" s="15">
        <f>$C11/$J11*H11</f>
        <v>4.7647058823529411</v>
      </c>
      <c r="O11" s="16">
        <f>$C11/$J11*I11*0.3</f>
        <v>2311.411764705882</v>
      </c>
    </row>
    <row r="12" spans="1:16">
      <c r="B12" t="s">
        <v>41</v>
      </c>
      <c r="C12">
        <v>500</v>
      </c>
      <c r="D12" s="5">
        <v>0.95</v>
      </c>
      <c r="E12" s="8">
        <v>0</v>
      </c>
      <c r="F12">
        <v>2</v>
      </c>
      <c r="G12">
        <v>0</v>
      </c>
      <c r="H12">
        <v>5.0999999999999996</v>
      </c>
      <c r="I12">
        <v>38304</v>
      </c>
      <c r="J12" s="9">
        <v>156</v>
      </c>
      <c r="K12" s="15">
        <f>$C12/$J12*E12</f>
        <v>0</v>
      </c>
      <c r="L12" s="15">
        <f>$C12/$J12*F12</f>
        <v>6.4102564102564106</v>
      </c>
      <c r="M12" s="15">
        <f>$C12/$J12*G12</f>
        <v>0</v>
      </c>
      <c r="N12" s="15">
        <f>$C12/$J12*H12</f>
        <v>16.346153846153847</v>
      </c>
      <c r="O12" s="16">
        <f>$C12/$J12*I12*0.3</f>
        <v>36830.769230769234</v>
      </c>
    </row>
    <row r="13" spans="1:16">
      <c r="B13" t="s">
        <v>44</v>
      </c>
      <c r="C13">
        <v>250</v>
      </c>
      <c r="D13" s="5">
        <v>3.18</v>
      </c>
      <c r="E13" s="8">
        <v>0</v>
      </c>
      <c r="F13">
        <v>5</v>
      </c>
      <c r="G13">
        <v>1</v>
      </c>
      <c r="H13">
        <v>4.5</v>
      </c>
      <c r="I13">
        <v>2165</v>
      </c>
      <c r="J13" s="9">
        <v>156</v>
      </c>
      <c r="K13" s="15">
        <f>$C13/$J13*E13</f>
        <v>0</v>
      </c>
      <c r="L13" s="15">
        <f>$C13/$J13*F13</f>
        <v>8.0128205128205128</v>
      </c>
      <c r="M13" s="15">
        <f>$C13/$J13*G13</f>
        <v>1.6025641025641026</v>
      </c>
      <c r="N13" s="15">
        <f>$C13/$J13*H13</f>
        <v>7.2115384615384617</v>
      </c>
      <c r="O13" s="16">
        <f>$C13/$J13*I13*0.3</f>
        <v>1040.8653846153845</v>
      </c>
    </row>
    <row r="14" spans="1:16">
      <c r="B14" t="s">
        <v>47</v>
      </c>
      <c r="C14">
        <v>500</v>
      </c>
      <c r="D14" s="5">
        <v>5.5</v>
      </c>
      <c r="E14" s="8">
        <v>32</v>
      </c>
      <c r="F14">
        <v>5</v>
      </c>
      <c r="G14">
        <v>1</v>
      </c>
      <c r="H14">
        <v>3.9</v>
      </c>
      <c r="I14">
        <v>361</v>
      </c>
      <c r="J14" s="9">
        <v>164</v>
      </c>
      <c r="K14" s="15">
        <f>$C14/$J14*E14</f>
        <v>97.560975609756099</v>
      </c>
      <c r="L14" s="15">
        <f>$C14/$J14*F14</f>
        <v>15.24390243902439</v>
      </c>
      <c r="M14" s="15">
        <f>$C14/$J14*G14</f>
        <v>3.0487804878048781</v>
      </c>
      <c r="N14" s="15">
        <f>$C14/$J14*H14</f>
        <v>11.890243902439025</v>
      </c>
      <c r="O14" s="16">
        <f>$C14/$J14*I14*0.3</f>
        <v>330.1829268292683</v>
      </c>
    </row>
    <row r="15" spans="1:16">
      <c r="B15" s="3" t="s">
        <v>50</v>
      </c>
      <c r="C15">
        <v>450</v>
      </c>
      <c r="D15" s="5">
        <v>2.4500000000000002</v>
      </c>
      <c r="E15" s="8">
        <v>2</v>
      </c>
      <c r="F15">
        <v>1</v>
      </c>
      <c r="G15">
        <v>0</v>
      </c>
      <c r="H15">
        <v>1.5</v>
      </c>
      <c r="I15">
        <v>9</v>
      </c>
      <c r="J15" s="9">
        <v>54</v>
      </c>
      <c r="K15" s="15">
        <f>$C15/$J15*E15</f>
        <v>16.666666666666668</v>
      </c>
      <c r="L15" s="15">
        <f>$C15/$J15*F15</f>
        <v>8.3333333333333339</v>
      </c>
      <c r="M15" s="15">
        <f>$C15/$J15*G15</f>
        <v>0</v>
      </c>
      <c r="N15" s="15">
        <f>$C15/$J15*H15</f>
        <v>12.5</v>
      </c>
      <c r="O15" s="16">
        <f>$C15/$J15*I15*0.3</f>
        <v>22.5</v>
      </c>
    </row>
    <row r="16" spans="1:16">
      <c r="B16" t="s">
        <v>53</v>
      </c>
      <c r="C16">
        <v>100</v>
      </c>
      <c r="D16" s="5">
        <v>2.75</v>
      </c>
      <c r="E16" s="8">
        <v>8</v>
      </c>
      <c r="F16">
        <v>5</v>
      </c>
      <c r="G16">
        <v>1</v>
      </c>
      <c r="H16">
        <v>2.9</v>
      </c>
      <c r="I16">
        <v>970</v>
      </c>
      <c r="J16" s="9">
        <v>180</v>
      </c>
      <c r="K16" s="15">
        <f>$C16/$J16*E16</f>
        <v>4.4444444444444446</v>
      </c>
      <c r="L16" s="15">
        <f>$C16/$J16*F16</f>
        <v>2.7777777777777777</v>
      </c>
      <c r="M16" s="15">
        <f>$C16/$J16*G16</f>
        <v>0.55555555555555558</v>
      </c>
      <c r="N16" s="15">
        <f>$C16/$J16*H16</f>
        <v>1.6111111111111112</v>
      </c>
      <c r="O16" s="16">
        <f>$C16/$J16*I16*0.3</f>
        <v>161.66666666666666</v>
      </c>
    </row>
    <row r="17" spans="1:15">
      <c r="B17" t="s">
        <v>56</v>
      </c>
      <c r="C17">
        <v>600</v>
      </c>
      <c r="D17" s="5">
        <v>1.95</v>
      </c>
      <c r="E17" s="8">
        <v>7</v>
      </c>
      <c r="F17">
        <v>2</v>
      </c>
      <c r="G17">
        <v>1</v>
      </c>
      <c r="H17">
        <v>3.5</v>
      </c>
      <c r="I17">
        <v>198</v>
      </c>
      <c r="J17" s="9">
        <v>150</v>
      </c>
      <c r="K17" s="15">
        <f>$C17/$J17*E17</f>
        <v>28</v>
      </c>
      <c r="L17" s="15">
        <f>$C17/$J17*F17</f>
        <v>8</v>
      </c>
      <c r="M17" s="15">
        <f>$C17/$J17*G17</f>
        <v>4</v>
      </c>
      <c r="N17" s="15">
        <f>$C17/$J17*H17</f>
        <v>14</v>
      </c>
      <c r="O17" s="16">
        <f>$C17/$J17*I17*0.3</f>
        <v>237.6</v>
      </c>
    </row>
    <row r="18" spans="1:15">
      <c r="B18" s="3" t="s">
        <v>59</v>
      </c>
      <c r="C18">
        <v>800</v>
      </c>
      <c r="D18" s="5">
        <v>2.85</v>
      </c>
      <c r="E18" s="8">
        <v>0</v>
      </c>
      <c r="F18">
        <v>1</v>
      </c>
      <c r="G18">
        <v>0</v>
      </c>
      <c r="H18">
        <v>0.1</v>
      </c>
      <c r="I18">
        <v>73</v>
      </c>
      <c r="J18" s="9">
        <v>55</v>
      </c>
      <c r="K18" s="15">
        <f>$C18/$J18*E18</f>
        <v>0</v>
      </c>
      <c r="L18" s="15">
        <f>$C18/$J18*F18</f>
        <v>14.545454545454545</v>
      </c>
      <c r="M18" s="15">
        <f>$C18/$J18*G18</f>
        <v>0</v>
      </c>
      <c r="N18" s="15">
        <f>$C18/$J18*H18</f>
        <v>1.4545454545454546</v>
      </c>
      <c r="O18" s="16">
        <f>$C18/$J18*I18*0.3</f>
        <v>318.5454545454545</v>
      </c>
    </row>
    <row r="19" spans="1:15">
      <c r="E19" s="8"/>
      <c r="J19" s="9"/>
      <c r="K19" s="15"/>
      <c r="L19" s="15"/>
      <c r="M19" s="15"/>
      <c r="N19" s="15"/>
      <c r="O19" s="16"/>
    </row>
    <row r="20" spans="1:15">
      <c r="A20" t="s">
        <v>62</v>
      </c>
      <c r="B20" t="s">
        <v>63</v>
      </c>
      <c r="C20">
        <v>1000</v>
      </c>
      <c r="D20" s="5">
        <v>8.4</v>
      </c>
      <c r="E20" s="8">
        <v>17</v>
      </c>
      <c r="F20">
        <v>13</v>
      </c>
      <c r="G20">
        <v>0</v>
      </c>
      <c r="H20">
        <v>0</v>
      </c>
      <c r="I20">
        <v>16</v>
      </c>
      <c r="J20" s="9">
        <v>227</v>
      </c>
      <c r="K20" s="15">
        <f>$C20/$J20*E20</f>
        <v>74.889867841409682</v>
      </c>
      <c r="L20" s="15">
        <f>$C20/$J20*F20</f>
        <v>57.268722466960348</v>
      </c>
      <c r="M20" s="15">
        <f>$C20/$J20*G20</f>
        <v>0</v>
      </c>
      <c r="N20" s="15">
        <f>$C20/$J20*H20</f>
        <v>0</v>
      </c>
      <c r="O20" s="16">
        <f>$C20/$J20*I20*0.3</f>
        <v>21.145374449339204</v>
      </c>
    </row>
    <row r="21" spans="1:15">
      <c r="B21" t="s">
        <v>66</v>
      </c>
      <c r="C21">
        <v>2000</v>
      </c>
      <c r="D21" s="5">
        <v>6.1</v>
      </c>
      <c r="E21" s="8">
        <v>11</v>
      </c>
      <c r="F21">
        <v>8</v>
      </c>
      <c r="G21">
        <v>8</v>
      </c>
      <c r="H21">
        <v>0</v>
      </c>
      <c r="I21">
        <v>307</v>
      </c>
      <c r="J21" s="9">
        <v>224</v>
      </c>
      <c r="K21" s="15">
        <f>$C21/$J21*E21</f>
        <v>98.214285714285722</v>
      </c>
      <c r="L21" s="15">
        <f>$C21/$J21*F21</f>
        <v>71.428571428571431</v>
      </c>
      <c r="M21" s="15">
        <f>$C21/$J21*G21</f>
        <v>71.428571428571431</v>
      </c>
      <c r="N21" s="15">
        <f>$C21/$J21*H21</f>
        <v>0</v>
      </c>
      <c r="O21" s="16">
        <f>$C21/$J21*I21*0.3</f>
        <v>822.32142857142856</v>
      </c>
    </row>
    <row r="22" spans="1:15">
      <c r="B22" t="s">
        <v>69</v>
      </c>
      <c r="C22">
        <v>946</v>
      </c>
      <c r="D22" s="5">
        <v>3.63</v>
      </c>
      <c r="E22" s="8">
        <v>11</v>
      </c>
      <c r="F22">
        <v>8</v>
      </c>
      <c r="G22">
        <v>8</v>
      </c>
      <c r="H22">
        <v>0</v>
      </c>
      <c r="I22">
        <v>307</v>
      </c>
      <c r="J22" s="9">
        <v>224</v>
      </c>
      <c r="K22" s="15">
        <f>$C22/$J22*E22</f>
        <v>46.455357142857139</v>
      </c>
      <c r="L22" s="15">
        <f>$C22/$J22*F22</f>
        <v>33.785714285714285</v>
      </c>
      <c r="M22" s="15">
        <f>$C22/$J22*G22</f>
        <v>33.785714285714285</v>
      </c>
      <c r="N22" s="15">
        <f>$C22/$J22*H22</f>
        <v>0</v>
      </c>
      <c r="O22" s="16">
        <f>$C22/$J22*I22*0.3</f>
        <v>388.9580357142857</v>
      </c>
    </row>
    <row r="23" spans="1:15">
      <c r="B23" t="s">
        <v>72</v>
      </c>
      <c r="C23">
        <v>250</v>
      </c>
      <c r="D23" s="5">
        <v>7.45</v>
      </c>
      <c r="E23" s="8">
        <v>1</v>
      </c>
      <c r="F23">
        <v>2</v>
      </c>
      <c r="G23">
        <v>10</v>
      </c>
      <c r="H23">
        <v>0</v>
      </c>
      <c r="I23">
        <v>405</v>
      </c>
      <c r="J23" s="9">
        <v>28</v>
      </c>
      <c r="K23" s="15">
        <f>$C23/$J23*E23</f>
        <v>8.9285714285714288</v>
      </c>
      <c r="L23" s="15">
        <f>$C23/$J23*F23</f>
        <v>17.857142857142858</v>
      </c>
      <c r="M23" s="15">
        <f>$C23/$J23*G23</f>
        <v>89.285714285714292</v>
      </c>
      <c r="N23" s="15">
        <f>$C23/$J23*H23</f>
        <v>0</v>
      </c>
      <c r="O23" s="16">
        <f>$C23/$J23*I23*0.3</f>
        <v>1084.8214285714287</v>
      </c>
    </row>
    <row r="24" spans="1:15">
      <c r="B24" t="s">
        <v>75</v>
      </c>
      <c r="C24">
        <v>550</v>
      </c>
      <c r="D24" s="5">
        <v>2.85</v>
      </c>
      <c r="E24" s="8">
        <v>1</v>
      </c>
      <c r="F24">
        <v>5</v>
      </c>
      <c r="G24">
        <v>4</v>
      </c>
      <c r="H24">
        <v>0</v>
      </c>
      <c r="I24">
        <v>279</v>
      </c>
      <c r="J24" s="9">
        <v>44</v>
      </c>
      <c r="K24" s="15">
        <f>$C24/$J24*E24</f>
        <v>12.5</v>
      </c>
      <c r="L24" s="15">
        <f>$C24/$J24*F24</f>
        <v>62.5</v>
      </c>
      <c r="M24" s="15">
        <f>$C24/$J24*G24</f>
        <v>50</v>
      </c>
      <c r="N24" s="15">
        <f>$C24/$J24*H24</f>
        <v>0</v>
      </c>
      <c r="O24" s="16">
        <f>$C24/$J24*I24*0.3</f>
        <v>1046.25</v>
      </c>
    </row>
    <row r="25" spans="1:15">
      <c r="B25" t="s">
        <v>75</v>
      </c>
      <c r="C25">
        <v>1650</v>
      </c>
      <c r="D25" s="5">
        <v>6.65</v>
      </c>
      <c r="E25" s="8">
        <v>1</v>
      </c>
      <c r="F25">
        <v>5</v>
      </c>
      <c r="G25">
        <v>4</v>
      </c>
      <c r="H25">
        <v>0</v>
      </c>
      <c r="I25">
        <v>279</v>
      </c>
      <c r="J25" s="9">
        <v>44</v>
      </c>
      <c r="K25" s="15">
        <f>$C25/$J25*E25</f>
        <v>37.5</v>
      </c>
      <c r="L25" s="15">
        <f>$C25/$J25*F25</f>
        <v>187.5</v>
      </c>
      <c r="M25" s="15">
        <f>$C25/$J25*G25</f>
        <v>150</v>
      </c>
      <c r="N25" s="15">
        <f>$C25/$J25*H25</f>
        <v>0</v>
      </c>
      <c r="O25" s="16">
        <f>$C25/$J25*I25*0.3</f>
        <v>3138.75</v>
      </c>
    </row>
    <row r="26" spans="1:15">
      <c r="E26" s="8"/>
      <c r="J26" s="9"/>
      <c r="K26" s="15"/>
      <c r="L26" s="15"/>
      <c r="M26" s="15"/>
      <c r="N26" s="15"/>
      <c r="O26" s="16"/>
    </row>
    <row r="27" spans="1:15">
      <c r="A27" t="s">
        <v>10</v>
      </c>
      <c r="B27" t="s">
        <v>80</v>
      </c>
      <c r="C27">
        <v>1200</v>
      </c>
      <c r="D27" s="5">
        <v>11.1</v>
      </c>
      <c r="E27" s="8">
        <v>0</v>
      </c>
      <c r="F27">
        <v>27</v>
      </c>
      <c r="G27">
        <v>6</v>
      </c>
      <c r="H27">
        <v>0</v>
      </c>
      <c r="I27">
        <v>1</v>
      </c>
      <c r="J27" s="9">
        <v>100</v>
      </c>
      <c r="K27" s="15">
        <f>$C27/$J27*E27</f>
        <v>0</v>
      </c>
      <c r="L27" s="15">
        <f>$C27/$J27*F27</f>
        <v>324</v>
      </c>
      <c r="M27" s="15">
        <f>$C27/$J27*G27</f>
        <v>72</v>
      </c>
      <c r="N27" s="15">
        <f>$C27/$J27*H27</f>
        <v>0</v>
      </c>
      <c r="O27" s="16">
        <f>$C27/$J27*I27*0.3</f>
        <v>3.5999999999999996</v>
      </c>
    </row>
    <row r="28" spans="1:15">
      <c r="A28" t="s">
        <v>83</v>
      </c>
      <c r="B28" t="s">
        <v>84</v>
      </c>
      <c r="C28">
        <v>200</v>
      </c>
      <c r="D28" s="5">
        <v>3.35</v>
      </c>
      <c r="E28" s="8">
        <v>0</v>
      </c>
      <c r="F28">
        <v>27</v>
      </c>
      <c r="G28">
        <v>3</v>
      </c>
      <c r="H28">
        <v>0</v>
      </c>
      <c r="I28">
        <v>1</v>
      </c>
      <c r="J28" s="9">
        <v>100</v>
      </c>
      <c r="K28" s="15">
        <f>$C28/$J28*E28</f>
        <v>0</v>
      </c>
      <c r="L28" s="15">
        <f>$C28/$J28*F28</f>
        <v>54</v>
      </c>
      <c r="M28" s="15">
        <f>$C28/$J28*G28</f>
        <v>6</v>
      </c>
      <c r="N28" s="15">
        <f>$C28/$J28*H28</f>
        <v>0</v>
      </c>
      <c r="O28" s="16">
        <f>$C28/$J28*I28*0.3</f>
        <v>0.6</v>
      </c>
    </row>
    <row r="29" spans="1:15">
      <c r="B29" t="s">
        <v>87</v>
      </c>
      <c r="C29">
        <v>1100</v>
      </c>
      <c r="D29" s="5">
        <v>22</v>
      </c>
      <c r="E29" s="8">
        <v>0</v>
      </c>
      <c r="F29">
        <v>27</v>
      </c>
      <c r="G29">
        <v>6</v>
      </c>
      <c r="H29">
        <v>0</v>
      </c>
      <c r="I29">
        <v>1</v>
      </c>
      <c r="J29" s="9">
        <v>100</v>
      </c>
      <c r="K29" s="15">
        <f>$C29/$J29*E29</f>
        <v>0</v>
      </c>
      <c r="L29" s="15">
        <f>$C29/$J29*F29</f>
        <v>297</v>
      </c>
      <c r="M29" s="15">
        <f>$C29/$J29*G29</f>
        <v>66</v>
      </c>
      <c r="N29" s="15">
        <f>$C29/$J29*H29</f>
        <v>0</v>
      </c>
      <c r="O29" s="16">
        <f>$C29/$J29*I29*0.3</f>
        <v>3.3</v>
      </c>
    </row>
    <row r="30" spans="1:15">
      <c r="B30" t="s">
        <v>90</v>
      </c>
      <c r="C30">
        <v>1050</v>
      </c>
      <c r="D30" s="5">
        <v>9.75</v>
      </c>
      <c r="E30" s="8">
        <v>0</v>
      </c>
      <c r="F30">
        <v>27</v>
      </c>
      <c r="G30">
        <v>6</v>
      </c>
      <c r="H30">
        <v>0</v>
      </c>
      <c r="I30">
        <v>1</v>
      </c>
      <c r="J30" s="9">
        <v>100</v>
      </c>
      <c r="K30" s="15">
        <f>$C30/$J30*E30</f>
        <v>0</v>
      </c>
      <c r="L30" s="15">
        <f>$C30/$J30*F30</f>
        <v>283.5</v>
      </c>
      <c r="M30" s="15">
        <f>$C30/$J30*G30</f>
        <v>63</v>
      </c>
      <c r="N30" s="15">
        <f>$C30/$J30*H30</f>
        <v>0</v>
      </c>
      <c r="O30" s="16">
        <f>$C30/$J30*I30*0.3</f>
        <v>3.15</v>
      </c>
    </row>
    <row r="31" spans="1:15">
      <c r="B31" t="s">
        <v>93</v>
      </c>
      <c r="C31">
        <v>200</v>
      </c>
      <c r="D31" s="5">
        <v>4.1500000000000004</v>
      </c>
      <c r="E31" s="8">
        <v>0</v>
      </c>
      <c r="F31">
        <v>27</v>
      </c>
      <c r="G31">
        <v>6</v>
      </c>
      <c r="H31">
        <v>0</v>
      </c>
      <c r="I31">
        <v>1</v>
      </c>
      <c r="J31" s="9">
        <v>100</v>
      </c>
      <c r="K31" s="15">
        <f>$C31/$J31*E31</f>
        <v>0</v>
      </c>
      <c r="L31" s="15">
        <f>$C31/$J31*F31</f>
        <v>54</v>
      </c>
      <c r="M31" s="15">
        <f>$C31/$J31*G31</f>
        <v>12</v>
      </c>
      <c r="N31" s="15">
        <f>$C31/$J31*H31</f>
        <v>0</v>
      </c>
      <c r="O31" s="16">
        <f>$C31/$J31*I31*0.3</f>
        <v>0.6</v>
      </c>
    </row>
    <row r="32" spans="1:15">
      <c r="B32" t="s">
        <v>96</v>
      </c>
      <c r="C32">
        <v>200</v>
      </c>
      <c r="D32" s="5">
        <v>3.35</v>
      </c>
      <c r="E32" s="8">
        <v>0</v>
      </c>
      <c r="F32">
        <v>13</v>
      </c>
      <c r="G32">
        <v>3</v>
      </c>
      <c r="H32">
        <v>0</v>
      </c>
      <c r="I32">
        <v>1</v>
      </c>
      <c r="J32" s="9">
        <v>100</v>
      </c>
      <c r="K32" s="15">
        <f>$C32/$J32*E32</f>
        <v>0</v>
      </c>
      <c r="L32" s="15">
        <f>$C32/$J32*F32</f>
        <v>26</v>
      </c>
      <c r="M32" s="15">
        <f>$C32/$J32*G32</f>
        <v>6</v>
      </c>
      <c r="N32" s="15">
        <f>$C32/$J32*H32</f>
        <v>0</v>
      </c>
      <c r="O32" s="16">
        <f>$C32/$J32*I32*0.3</f>
        <v>0.6</v>
      </c>
    </row>
    <row r="33" spans="1:42">
      <c r="B33" t="s">
        <v>99</v>
      </c>
      <c r="C33">
        <v>250</v>
      </c>
      <c r="D33" s="5">
        <v>7.16</v>
      </c>
      <c r="E33" s="8">
        <v>0</v>
      </c>
      <c r="F33">
        <v>28</v>
      </c>
      <c r="G33">
        <v>11</v>
      </c>
      <c r="H33">
        <v>0</v>
      </c>
      <c r="I33">
        <v>3</v>
      </c>
      <c r="J33" s="9">
        <v>100</v>
      </c>
      <c r="K33" s="15">
        <f>$C33/$J33*E33</f>
        <v>0</v>
      </c>
      <c r="L33" s="15">
        <f>$C33/$J33*F33</f>
        <v>70</v>
      </c>
      <c r="M33" s="15">
        <f>$C33/$J33*G33</f>
        <v>27.5</v>
      </c>
      <c r="N33" s="15">
        <f>$C33/$J33*H33</f>
        <v>0</v>
      </c>
      <c r="O33" s="16">
        <f>$C33/$J33*I33*0.3</f>
        <v>2.25</v>
      </c>
    </row>
    <row r="34" spans="1:42">
      <c r="B34" t="s">
        <v>102</v>
      </c>
      <c r="C34">
        <v>250</v>
      </c>
      <c r="D34" s="5">
        <v>7.9</v>
      </c>
      <c r="E34" s="8">
        <v>0</v>
      </c>
      <c r="F34">
        <v>28</v>
      </c>
      <c r="G34">
        <v>11</v>
      </c>
      <c r="H34">
        <v>0</v>
      </c>
      <c r="I34">
        <v>3</v>
      </c>
      <c r="J34" s="9">
        <v>100</v>
      </c>
      <c r="K34" s="15">
        <f>$C34/$J34*E34</f>
        <v>0</v>
      </c>
      <c r="L34" s="15">
        <f>$C34/$J34*F34</f>
        <v>70</v>
      </c>
      <c r="M34" s="15">
        <f>$C34/$J34*G34</f>
        <v>27.5</v>
      </c>
      <c r="N34" s="15">
        <f>$C34/$J34*H34</f>
        <v>0</v>
      </c>
      <c r="O34" s="16">
        <f>$C34/$J34*I34*0.3</f>
        <v>2.25</v>
      </c>
    </row>
    <row r="35" spans="1:42">
      <c r="B35" t="s">
        <v>105</v>
      </c>
      <c r="C35">
        <v>300</v>
      </c>
      <c r="D35" s="5">
        <v>6.6</v>
      </c>
      <c r="E35" s="8">
        <v>0</v>
      </c>
      <c r="F35">
        <v>24</v>
      </c>
      <c r="G35">
        <v>11</v>
      </c>
      <c r="H35">
        <v>0</v>
      </c>
      <c r="I35">
        <v>8</v>
      </c>
      <c r="J35" s="9">
        <v>85</v>
      </c>
      <c r="K35" s="15">
        <f>$C35/$J35*E35</f>
        <v>0</v>
      </c>
      <c r="L35" s="15">
        <f>$C35/$J35*F35</f>
        <v>84.705882352941174</v>
      </c>
      <c r="M35" s="15">
        <f>$C35/$J35*G35</f>
        <v>38.823529411764703</v>
      </c>
      <c r="N35" s="15">
        <f>$C35/$J35*H35</f>
        <v>0</v>
      </c>
      <c r="O35" s="16">
        <f>$C35/$J35*I35*0.3</f>
        <v>8.4705882352941178</v>
      </c>
    </row>
    <row r="36" spans="1:42">
      <c r="B36" s="3" t="s">
        <v>108</v>
      </c>
      <c r="C36">
        <v>300</v>
      </c>
      <c r="D36" s="5">
        <v>9.6300000000000008</v>
      </c>
      <c r="E36" s="8">
        <v>0</v>
      </c>
      <c r="F36">
        <v>26</v>
      </c>
      <c r="G36">
        <v>7</v>
      </c>
      <c r="H36">
        <v>0</v>
      </c>
      <c r="I36">
        <v>7</v>
      </c>
      <c r="J36" s="9">
        <v>85</v>
      </c>
      <c r="K36" s="15">
        <f>$C36/$J36*E36</f>
        <v>0</v>
      </c>
      <c r="L36" s="15">
        <f>$C36/$J36*F36</f>
        <v>91.764705882352942</v>
      </c>
      <c r="M36" s="15">
        <f>$C36/$J36*G36</f>
        <v>24.705882352941174</v>
      </c>
      <c r="N36" s="15">
        <f>$C36/$J36*H36</f>
        <v>0</v>
      </c>
      <c r="O36" s="16">
        <f>$C36/$J36*I36*0.3</f>
        <v>7.4117647058823515</v>
      </c>
    </row>
    <row r="37" spans="1:42">
      <c r="B37" t="s">
        <v>111</v>
      </c>
      <c r="C37">
        <v>150</v>
      </c>
      <c r="D37" s="5">
        <v>6.91</v>
      </c>
      <c r="E37" s="8">
        <v>0</v>
      </c>
      <c r="F37">
        <v>42</v>
      </c>
      <c r="G37">
        <v>17</v>
      </c>
      <c r="H37">
        <v>0</v>
      </c>
      <c r="I37">
        <v>324</v>
      </c>
      <c r="J37" s="9">
        <v>155</v>
      </c>
      <c r="K37" s="15">
        <f>$C37/$J37*E37</f>
        <v>0</v>
      </c>
      <c r="L37" s="15">
        <f>$C37/$J37*F37</f>
        <v>40.645161290322584</v>
      </c>
      <c r="M37" s="15">
        <f>$C37/$J37*G37</f>
        <v>16.451612903225808</v>
      </c>
      <c r="N37" s="15">
        <f>$C37/$J37*H37</f>
        <v>0</v>
      </c>
      <c r="O37" s="16">
        <f>$C37/$J37*I37*0.3</f>
        <v>94.064516129032256</v>
      </c>
    </row>
    <row r="39" spans="1:42">
      <c r="B39" s="17"/>
      <c r="C39" s="25" t="s">
        <v>116</v>
      </c>
      <c r="D39" s="30" t="s">
        <v>117</v>
      </c>
      <c r="H39" s="31" t="s">
        <v>118</v>
      </c>
      <c r="I39" s="27"/>
      <c r="J39" s="27"/>
      <c r="K39" s="27"/>
      <c r="L39" s="28"/>
    </row>
    <row r="40" spans="1:42">
      <c r="B40" s="8" t="s">
        <v>119</v>
      </c>
      <c r="C40">
        <v>130</v>
      </c>
      <c r="D40" s="9">
        <f t="shared" ref="D40:D44" si="0">7*C40</f>
        <v>910</v>
      </c>
      <c r="H40" s="10">
        <v>910</v>
      </c>
      <c r="I40" s="11">
        <v>322</v>
      </c>
      <c r="J40" s="11">
        <v>362.87439999999998</v>
      </c>
      <c r="K40" s="11">
        <v>196</v>
      </c>
      <c r="L40" s="12">
        <v>5250</v>
      </c>
    </row>
    <row r="41" spans="1:42">
      <c r="B41" s="8" t="s">
        <v>10</v>
      </c>
      <c r="C41">
        <v>46</v>
      </c>
      <c r="D41" s="9">
        <f>7*C41</f>
        <v>322</v>
      </c>
    </row>
    <row r="42" spans="1:42">
      <c r="B42" s="8" t="s">
        <v>120</v>
      </c>
      <c r="C42">
        <v>51.839199999999998</v>
      </c>
      <c r="D42" s="9">
        <f t="shared" si="0"/>
        <v>362.87439999999998</v>
      </c>
    </row>
    <row r="43" spans="1:42">
      <c r="B43" s="8" t="s">
        <v>12</v>
      </c>
      <c r="C43">
        <v>28</v>
      </c>
      <c r="D43" s="9">
        <f t="shared" si="0"/>
        <v>196</v>
      </c>
    </row>
    <row r="44" spans="1:42">
      <c r="B44" s="10" t="s">
        <v>121</v>
      </c>
      <c r="C44" s="11">
        <v>750</v>
      </c>
      <c r="D44" s="12">
        <f t="shared" si="0"/>
        <v>5250</v>
      </c>
    </row>
    <row r="47" spans="1:42" ht="20.25" customHeight="1">
      <c r="A47" s="41" t="s">
        <v>123</v>
      </c>
      <c r="B47" s="42"/>
      <c r="C47" s="26">
        <v>5.4</v>
      </c>
      <c r="D47" s="27">
        <v>2.4</v>
      </c>
      <c r="E47" s="27">
        <v>2.93</v>
      </c>
      <c r="F47" s="27">
        <v>2.17</v>
      </c>
      <c r="G47" s="27">
        <v>8.9</v>
      </c>
      <c r="H47" s="27">
        <v>4.2</v>
      </c>
      <c r="I47" s="27"/>
      <c r="J47" s="27">
        <v>1.35</v>
      </c>
      <c r="K47" s="27">
        <v>1.83</v>
      </c>
      <c r="L47" s="27">
        <v>0.95</v>
      </c>
      <c r="M47" s="27">
        <v>3.18</v>
      </c>
      <c r="N47" s="27">
        <v>5.5</v>
      </c>
      <c r="O47" s="27">
        <v>2.4500000000000002</v>
      </c>
      <c r="P47" s="27">
        <v>2.75</v>
      </c>
      <c r="Q47" s="27">
        <v>1.95</v>
      </c>
      <c r="R47" s="27">
        <v>2.85</v>
      </c>
      <c r="S47" s="27"/>
      <c r="T47" s="27"/>
      <c r="U47" s="27"/>
      <c r="V47" s="27">
        <v>8.4</v>
      </c>
      <c r="W47" s="27">
        <v>6.1</v>
      </c>
      <c r="X47" s="27">
        <v>3.63</v>
      </c>
      <c r="Y47" s="27">
        <v>7.45</v>
      </c>
      <c r="Z47" s="27">
        <v>2.85</v>
      </c>
      <c r="AA47" s="27">
        <v>6.65</v>
      </c>
      <c r="AB47" s="27"/>
      <c r="AC47" s="27"/>
      <c r="AD47" s="27">
        <v>11.1</v>
      </c>
      <c r="AE47" s="27">
        <v>3.35</v>
      </c>
      <c r="AF47" s="27">
        <v>22</v>
      </c>
      <c r="AG47" s="27">
        <v>9.75</v>
      </c>
      <c r="AH47" s="27">
        <v>4.1500000000000004</v>
      </c>
      <c r="AI47" s="27">
        <v>3.35</v>
      </c>
      <c r="AJ47" s="27">
        <v>7.16</v>
      </c>
      <c r="AK47" s="27">
        <v>7.9</v>
      </c>
      <c r="AL47" s="27">
        <v>6.6</v>
      </c>
      <c r="AM47" s="27">
        <v>9.6300000000000008</v>
      </c>
      <c r="AN47" s="28">
        <v>6.91</v>
      </c>
      <c r="AO47" s="5"/>
      <c r="AP47" s="5"/>
    </row>
    <row r="49" spans="2:44">
      <c r="B49" s="17" t="s">
        <v>129</v>
      </c>
      <c r="C49" s="25"/>
      <c r="D49" s="29"/>
      <c r="E49" s="25"/>
      <c r="F49" s="30"/>
      <c r="H49" s="22" t="s">
        <v>126</v>
      </c>
      <c r="I49" s="25" t="s">
        <v>119</v>
      </c>
      <c r="J49" s="18">
        <v>578.25</v>
      </c>
      <c r="K49" s="18">
        <v>142.85714285714286</v>
      </c>
      <c r="L49" s="18">
        <v>96</v>
      </c>
      <c r="M49" s="18">
        <v>181.2</v>
      </c>
      <c r="N49" s="18">
        <v>160</v>
      </c>
      <c r="O49" s="18">
        <v>226.8</v>
      </c>
      <c r="P49" s="18"/>
      <c r="Q49" s="18">
        <v>0</v>
      </c>
      <c r="R49" s="18">
        <v>0</v>
      </c>
      <c r="S49" s="18">
        <v>0</v>
      </c>
      <c r="T49" s="18">
        <v>0</v>
      </c>
      <c r="U49" s="18">
        <v>97.560975609756099</v>
      </c>
      <c r="V49" s="18">
        <v>16.666666666666668</v>
      </c>
      <c r="W49" s="18">
        <v>4.4444444444444446</v>
      </c>
      <c r="X49" s="18">
        <v>28</v>
      </c>
      <c r="Y49" s="18">
        <v>0</v>
      </c>
      <c r="Z49" s="18"/>
      <c r="AA49" s="18">
        <v>74.889867841409682</v>
      </c>
      <c r="AB49" s="18">
        <v>98.214285714285722</v>
      </c>
      <c r="AC49" s="18">
        <v>46.455357142857139</v>
      </c>
      <c r="AD49" s="18">
        <v>8.9285714285714288</v>
      </c>
      <c r="AE49" s="18">
        <v>12.5</v>
      </c>
      <c r="AF49" s="18">
        <v>37.5</v>
      </c>
      <c r="AG49" s="18"/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9">
        <v>0</v>
      </c>
    </row>
    <row r="50" spans="2:44">
      <c r="B50" s="6" t="s">
        <v>9</v>
      </c>
      <c r="C50" s="1" t="s">
        <v>10</v>
      </c>
      <c r="D50" s="1" t="s">
        <v>11</v>
      </c>
      <c r="E50" s="1" t="s">
        <v>12</v>
      </c>
      <c r="F50" s="7" t="s">
        <v>15</v>
      </c>
      <c r="H50" s="23" t="s">
        <v>127</v>
      </c>
      <c r="I50" t="s">
        <v>10</v>
      </c>
      <c r="J50" s="15">
        <v>55.5</v>
      </c>
      <c r="K50" s="15">
        <v>25</v>
      </c>
      <c r="L50" s="15">
        <v>60</v>
      </c>
      <c r="M50" s="15">
        <v>29.400000000000002</v>
      </c>
      <c r="N50" s="15">
        <v>30</v>
      </c>
      <c r="O50" s="15">
        <v>46.800000000000004</v>
      </c>
      <c r="P50" s="15"/>
      <c r="Q50" s="15">
        <v>5.5555555555555554</v>
      </c>
      <c r="R50" s="15">
        <v>5.2941176470588234</v>
      </c>
      <c r="S50" s="15">
        <v>6.4102564102564106</v>
      </c>
      <c r="T50" s="15">
        <v>8.0128205128205128</v>
      </c>
      <c r="U50" s="15">
        <v>15.24390243902439</v>
      </c>
      <c r="V50" s="15">
        <v>8.3333333333333339</v>
      </c>
      <c r="W50" s="15">
        <v>2.7777777777777777</v>
      </c>
      <c r="X50" s="15">
        <v>8</v>
      </c>
      <c r="Y50" s="15">
        <v>14.545454545454545</v>
      </c>
      <c r="Z50" s="15"/>
      <c r="AA50" s="15">
        <v>57.268722466960348</v>
      </c>
      <c r="AB50" s="15">
        <v>71.428571428571431</v>
      </c>
      <c r="AC50" s="15">
        <v>33.785714285714285</v>
      </c>
      <c r="AD50" s="15">
        <v>17.857142857142858</v>
      </c>
      <c r="AE50" s="15">
        <v>62.5</v>
      </c>
      <c r="AF50" s="15">
        <v>187.5</v>
      </c>
      <c r="AG50" s="15"/>
      <c r="AH50" s="15">
        <v>324</v>
      </c>
      <c r="AI50" s="15">
        <v>54</v>
      </c>
      <c r="AJ50" s="15">
        <v>297</v>
      </c>
      <c r="AK50" s="15">
        <v>283.5</v>
      </c>
      <c r="AL50" s="15">
        <v>54</v>
      </c>
      <c r="AM50" s="15">
        <v>26</v>
      </c>
      <c r="AN50" s="15">
        <v>70</v>
      </c>
      <c r="AO50" s="15">
        <v>70</v>
      </c>
      <c r="AP50" s="15">
        <v>84.705882352941174</v>
      </c>
      <c r="AQ50" s="15">
        <v>91.764705882352942</v>
      </c>
      <c r="AR50" s="16">
        <v>40.645161290322584</v>
      </c>
    </row>
    <row r="51" spans="2:44">
      <c r="B51" s="8">
        <v>578.25</v>
      </c>
      <c r="C51">
        <v>55.5</v>
      </c>
      <c r="D51" s="5">
        <v>16.5</v>
      </c>
      <c r="E51">
        <v>18.75</v>
      </c>
      <c r="F51" s="9">
        <v>0</v>
      </c>
      <c r="H51" s="23"/>
      <c r="I51" t="s">
        <v>120</v>
      </c>
      <c r="J51" s="15">
        <v>16.5</v>
      </c>
      <c r="K51" s="15">
        <v>3.5714285714285716</v>
      </c>
      <c r="L51" s="15">
        <v>0</v>
      </c>
      <c r="M51" s="15">
        <v>78</v>
      </c>
      <c r="N51" s="15">
        <v>0</v>
      </c>
      <c r="O51" s="15">
        <v>86.4</v>
      </c>
      <c r="P51" s="15"/>
      <c r="Q51" s="15">
        <v>0</v>
      </c>
      <c r="R51" s="15">
        <v>0</v>
      </c>
      <c r="S51" s="15">
        <v>0</v>
      </c>
      <c r="T51" s="15">
        <v>1.6025641025641026</v>
      </c>
      <c r="U51" s="15">
        <v>3.0487804878048781</v>
      </c>
      <c r="V51" s="15">
        <v>0</v>
      </c>
      <c r="W51" s="15">
        <v>0.55555555555555558</v>
      </c>
      <c r="X51" s="15">
        <v>4</v>
      </c>
      <c r="Y51" s="15">
        <v>0</v>
      </c>
      <c r="Z51" s="15"/>
      <c r="AA51" s="15">
        <v>0</v>
      </c>
      <c r="AB51" s="15">
        <v>71.428571428571431</v>
      </c>
      <c r="AC51" s="15">
        <v>33.785714285714285</v>
      </c>
      <c r="AD51" s="15">
        <v>89.285714285714292</v>
      </c>
      <c r="AE51" s="15">
        <v>50</v>
      </c>
      <c r="AF51" s="15">
        <v>150</v>
      </c>
      <c r="AG51" s="15"/>
      <c r="AH51" s="15">
        <v>72</v>
      </c>
      <c r="AI51" s="15">
        <v>6</v>
      </c>
      <c r="AJ51" s="15">
        <v>66</v>
      </c>
      <c r="AK51" s="15">
        <v>63</v>
      </c>
      <c r="AL51" s="15">
        <v>12</v>
      </c>
      <c r="AM51" s="15">
        <v>6</v>
      </c>
      <c r="AN51" s="15">
        <v>27.5</v>
      </c>
      <c r="AO51" s="15">
        <v>27.5</v>
      </c>
      <c r="AP51" s="15">
        <v>38.823529411764703</v>
      </c>
      <c r="AQ51" s="15">
        <v>24.705882352941174</v>
      </c>
      <c r="AR51" s="16">
        <v>16.451612903225808</v>
      </c>
    </row>
    <row r="52" spans="2:44">
      <c r="B52" s="8">
        <v>142.85714285714286</v>
      </c>
      <c r="C52">
        <v>25</v>
      </c>
      <c r="D52">
        <v>3.5714285714285716</v>
      </c>
      <c r="E52">
        <v>8.5714285714285712</v>
      </c>
      <c r="F52" s="9">
        <v>0</v>
      </c>
      <c r="H52" s="23"/>
      <c r="I52" t="s">
        <v>12</v>
      </c>
      <c r="J52" s="15">
        <v>18.75</v>
      </c>
      <c r="K52" s="15">
        <v>8.5714285714285712</v>
      </c>
      <c r="L52" s="15">
        <v>0</v>
      </c>
      <c r="M52" s="15">
        <v>7.1999999999999993</v>
      </c>
      <c r="N52" s="15">
        <v>6</v>
      </c>
      <c r="O52" s="15">
        <v>0</v>
      </c>
      <c r="P52" s="15"/>
      <c r="Q52" s="15">
        <v>4.7777777777777777</v>
      </c>
      <c r="R52" s="15">
        <v>4.7647058823529411</v>
      </c>
      <c r="S52" s="15">
        <v>16.346153846153847</v>
      </c>
      <c r="T52" s="15">
        <v>7.2115384615384617</v>
      </c>
      <c r="U52" s="15">
        <v>11.890243902439025</v>
      </c>
      <c r="V52" s="15">
        <v>12.5</v>
      </c>
      <c r="W52" s="15">
        <v>1.6111111111111112</v>
      </c>
      <c r="X52" s="15">
        <v>14</v>
      </c>
      <c r="Y52" s="15">
        <v>1.4545454545454546</v>
      </c>
      <c r="Z52" s="15"/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/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6">
        <v>0</v>
      </c>
    </row>
    <row r="53" spans="2:44">
      <c r="B53" s="8">
        <v>96</v>
      </c>
      <c r="C53">
        <v>60</v>
      </c>
      <c r="D53">
        <v>0</v>
      </c>
      <c r="E53">
        <v>0</v>
      </c>
      <c r="F53" s="9">
        <v>0</v>
      </c>
      <c r="H53" s="24"/>
      <c r="I53" s="11" t="s">
        <v>121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4914</v>
      </c>
      <c r="R53" s="20">
        <v>2311.411764705882</v>
      </c>
      <c r="S53" s="20">
        <v>36830.769230769234</v>
      </c>
      <c r="T53" s="20">
        <v>1040.8653846153845</v>
      </c>
      <c r="U53" s="20">
        <v>330.1829268292683</v>
      </c>
      <c r="V53" s="20">
        <v>22.5</v>
      </c>
      <c r="W53" s="20">
        <v>161.66666666666666</v>
      </c>
      <c r="X53" s="20">
        <v>237.6</v>
      </c>
      <c r="Y53" s="20">
        <v>318.5454545454545</v>
      </c>
      <c r="Z53" s="20"/>
      <c r="AA53" s="20">
        <v>21.145374449339204</v>
      </c>
      <c r="AB53" s="20">
        <v>822.32142857142856</v>
      </c>
      <c r="AC53" s="20">
        <v>388.9580357142857</v>
      </c>
      <c r="AD53" s="20">
        <v>1084.8214285714287</v>
      </c>
      <c r="AE53" s="20">
        <v>1046.25</v>
      </c>
      <c r="AF53" s="20">
        <v>3138.75</v>
      </c>
      <c r="AG53" s="20"/>
      <c r="AH53" s="20">
        <v>3.5999999999999996</v>
      </c>
      <c r="AI53" s="20">
        <v>0.6</v>
      </c>
      <c r="AJ53" s="20">
        <v>3.3</v>
      </c>
      <c r="AK53" s="20">
        <v>3.15</v>
      </c>
      <c r="AL53" s="20">
        <v>0.6</v>
      </c>
      <c r="AM53" s="20">
        <v>0.6</v>
      </c>
      <c r="AN53" s="20">
        <v>2.25</v>
      </c>
      <c r="AO53" s="20">
        <v>2.25</v>
      </c>
      <c r="AP53" s="20">
        <v>8.4705882352941178</v>
      </c>
      <c r="AQ53" s="20">
        <v>7.4117647058823515</v>
      </c>
      <c r="AR53" s="21">
        <v>94.064516129032256</v>
      </c>
    </row>
    <row r="54" spans="2:44">
      <c r="B54" s="8">
        <v>181.2</v>
      </c>
      <c r="C54">
        <v>29.400000000000002</v>
      </c>
      <c r="D54">
        <v>78</v>
      </c>
      <c r="E54">
        <v>7.1999999999999993</v>
      </c>
      <c r="F54" s="9">
        <v>0</v>
      </c>
    </row>
    <row r="55" spans="2:44">
      <c r="B55" s="8">
        <v>160</v>
      </c>
      <c r="C55">
        <v>30</v>
      </c>
      <c r="D55">
        <v>0</v>
      </c>
      <c r="E55">
        <v>6</v>
      </c>
      <c r="F55" s="9">
        <v>0</v>
      </c>
    </row>
    <row r="56" spans="2:44">
      <c r="B56" s="8">
        <v>226.8</v>
      </c>
      <c r="C56">
        <v>46.800000000000004</v>
      </c>
      <c r="D56">
        <v>86.4</v>
      </c>
      <c r="E56">
        <v>0</v>
      </c>
      <c r="F56" s="9">
        <v>0</v>
      </c>
    </row>
    <row r="57" spans="2:44">
      <c r="B57" s="8"/>
      <c r="D57"/>
      <c r="F57" s="9"/>
    </row>
    <row r="58" spans="2:44">
      <c r="B58" s="8">
        <v>0</v>
      </c>
      <c r="C58">
        <v>5.5555555555555554</v>
      </c>
      <c r="D58">
        <v>0</v>
      </c>
      <c r="E58">
        <v>4.7777777777777777</v>
      </c>
      <c r="F58" s="9">
        <v>4914</v>
      </c>
    </row>
    <row r="59" spans="2:44">
      <c r="B59" s="8">
        <v>0</v>
      </c>
      <c r="C59">
        <v>5.2941176470588234</v>
      </c>
      <c r="D59">
        <v>0</v>
      </c>
      <c r="E59">
        <v>4.7647058823529411</v>
      </c>
      <c r="F59" s="9">
        <v>2311.411764705882</v>
      </c>
    </row>
    <row r="60" spans="2:44">
      <c r="B60" s="8">
        <v>0</v>
      </c>
      <c r="C60">
        <v>6.4102564102564106</v>
      </c>
      <c r="D60">
        <v>0</v>
      </c>
      <c r="E60">
        <v>16.346153846153847</v>
      </c>
      <c r="F60" s="9">
        <v>36830.769230769234</v>
      </c>
    </row>
    <row r="61" spans="2:44">
      <c r="B61" s="8">
        <v>0</v>
      </c>
      <c r="C61">
        <v>8.0128205128205128</v>
      </c>
      <c r="D61">
        <v>1.6025641025641026</v>
      </c>
      <c r="E61">
        <v>7.2115384615384617</v>
      </c>
      <c r="F61" s="9">
        <v>1040.8653846153845</v>
      </c>
    </row>
    <row r="62" spans="2:44">
      <c r="B62" s="8">
        <v>97.560975609756099</v>
      </c>
      <c r="C62">
        <v>15.24390243902439</v>
      </c>
      <c r="D62">
        <v>3.0487804878048781</v>
      </c>
      <c r="E62">
        <v>11.890243902439025</v>
      </c>
      <c r="F62" s="9">
        <v>330.1829268292683</v>
      </c>
    </row>
    <row r="63" spans="2:44">
      <c r="B63" s="8">
        <v>16.666666666666668</v>
      </c>
      <c r="C63">
        <v>8.3333333333333339</v>
      </c>
      <c r="D63">
        <v>0</v>
      </c>
      <c r="E63">
        <v>12.5</v>
      </c>
      <c r="F63" s="9">
        <v>22.5</v>
      </c>
    </row>
    <row r="64" spans="2:44">
      <c r="B64" s="8">
        <v>4.4444444444444446</v>
      </c>
      <c r="C64">
        <v>2.7777777777777777</v>
      </c>
      <c r="D64">
        <v>0.55555555555555558</v>
      </c>
      <c r="E64">
        <v>1.6111111111111112</v>
      </c>
      <c r="F64" s="9">
        <v>161.66666666666666</v>
      </c>
    </row>
    <row r="65" spans="2:6">
      <c r="B65" s="8">
        <v>28</v>
      </c>
      <c r="C65">
        <v>8</v>
      </c>
      <c r="D65">
        <v>4</v>
      </c>
      <c r="E65">
        <v>14</v>
      </c>
      <c r="F65" s="9">
        <v>237.6</v>
      </c>
    </row>
    <row r="66" spans="2:6">
      <c r="B66" s="8">
        <v>0</v>
      </c>
      <c r="C66">
        <v>14.545454545454545</v>
      </c>
      <c r="D66">
        <v>0</v>
      </c>
      <c r="E66">
        <v>1.4545454545454546</v>
      </c>
      <c r="F66" s="9">
        <v>318.5454545454545</v>
      </c>
    </row>
    <row r="67" spans="2:6">
      <c r="B67" s="8"/>
      <c r="D67"/>
      <c r="F67" s="9"/>
    </row>
    <row r="68" spans="2:6">
      <c r="B68" s="8">
        <v>74.889867841409682</v>
      </c>
      <c r="C68">
        <v>57.268722466960348</v>
      </c>
      <c r="D68">
        <v>0</v>
      </c>
      <c r="E68">
        <v>0</v>
      </c>
      <c r="F68" s="9">
        <v>21.145374449339204</v>
      </c>
    </row>
    <row r="69" spans="2:6">
      <c r="B69" s="8">
        <v>98.214285714285722</v>
      </c>
      <c r="C69">
        <v>71.428571428571431</v>
      </c>
      <c r="D69">
        <v>71.428571428571431</v>
      </c>
      <c r="E69">
        <v>0</v>
      </c>
      <c r="F69" s="9">
        <v>822.32142857142856</v>
      </c>
    </row>
    <row r="70" spans="2:6">
      <c r="B70" s="8">
        <v>46.455357142857139</v>
      </c>
      <c r="C70">
        <v>33.785714285714285</v>
      </c>
      <c r="D70">
        <v>33.785714285714285</v>
      </c>
      <c r="E70">
        <v>0</v>
      </c>
      <c r="F70" s="9">
        <v>388.9580357142857</v>
      </c>
    </row>
    <row r="71" spans="2:6">
      <c r="B71" s="8">
        <v>8.9285714285714288</v>
      </c>
      <c r="C71">
        <v>17.857142857142858</v>
      </c>
      <c r="D71">
        <v>89.285714285714292</v>
      </c>
      <c r="E71">
        <v>0</v>
      </c>
      <c r="F71" s="9">
        <v>1084.8214285714287</v>
      </c>
    </row>
    <row r="72" spans="2:6">
      <c r="B72" s="8">
        <v>12.5</v>
      </c>
      <c r="C72">
        <v>62.5</v>
      </c>
      <c r="D72">
        <v>50</v>
      </c>
      <c r="E72">
        <v>0</v>
      </c>
      <c r="F72" s="9">
        <v>1046.25</v>
      </c>
    </row>
    <row r="73" spans="2:6">
      <c r="B73" s="8">
        <v>37.5</v>
      </c>
      <c r="C73">
        <v>187.5</v>
      </c>
      <c r="D73">
        <v>150</v>
      </c>
      <c r="E73">
        <v>0</v>
      </c>
      <c r="F73" s="9">
        <v>3138.75</v>
      </c>
    </row>
    <row r="74" spans="2:6">
      <c r="B74" s="8"/>
      <c r="D74"/>
      <c r="F74" s="9"/>
    </row>
    <row r="75" spans="2:6">
      <c r="B75" s="8">
        <v>0</v>
      </c>
      <c r="C75">
        <v>324</v>
      </c>
      <c r="D75">
        <v>72</v>
      </c>
      <c r="E75">
        <v>0</v>
      </c>
      <c r="F75" s="9">
        <v>3.5999999999999996</v>
      </c>
    </row>
    <row r="76" spans="2:6">
      <c r="B76" s="8">
        <v>0</v>
      </c>
      <c r="C76">
        <v>54</v>
      </c>
      <c r="D76">
        <v>6</v>
      </c>
      <c r="E76">
        <v>0</v>
      </c>
      <c r="F76" s="9">
        <v>0.6</v>
      </c>
    </row>
    <row r="77" spans="2:6">
      <c r="B77" s="8">
        <v>0</v>
      </c>
      <c r="C77">
        <v>297</v>
      </c>
      <c r="D77">
        <v>66</v>
      </c>
      <c r="E77">
        <v>0</v>
      </c>
      <c r="F77" s="9">
        <v>3.3</v>
      </c>
    </row>
    <row r="78" spans="2:6">
      <c r="B78" s="8">
        <v>0</v>
      </c>
      <c r="C78">
        <v>283.5</v>
      </c>
      <c r="D78">
        <v>63</v>
      </c>
      <c r="E78">
        <v>0</v>
      </c>
      <c r="F78" s="9">
        <v>3.15</v>
      </c>
    </row>
    <row r="79" spans="2:6">
      <c r="B79" s="8">
        <v>0</v>
      </c>
      <c r="C79">
        <v>54</v>
      </c>
      <c r="D79">
        <v>12</v>
      </c>
      <c r="E79">
        <v>0</v>
      </c>
      <c r="F79" s="9">
        <v>0.6</v>
      </c>
    </row>
    <row r="80" spans="2:6">
      <c r="B80" s="8">
        <v>0</v>
      </c>
      <c r="C80">
        <v>26</v>
      </c>
      <c r="D80">
        <v>6</v>
      </c>
      <c r="E80">
        <v>0</v>
      </c>
      <c r="F80" s="9">
        <v>0.6</v>
      </c>
    </row>
    <row r="81" spans="2:6">
      <c r="B81" s="8">
        <v>0</v>
      </c>
      <c r="C81">
        <v>70</v>
      </c>
      <c r="D81">
        <v>27.5</v>
      </c>
      <c r="E81">
        <v>0</v>
      </c>
      <c r="F81" s="9">
        <v>2.25</v>
      </c>
    </row>
    <row r="82" spans="2:6">
      <c r="B82" s="8">
        <v>0</v>
      </c>
      <c r="C82">
        <v>70</v>
      </c>
      <c r="D82">
        <v>27.5</v>
      </c>
      <c r="E82">
        <v>0</v>
      </c>
      <c r="F82" s="9">
        <v>2.25</v>
      </c>
    </row>
    <row r="83" spans="2:6">
      <c r="B83" s="8">
        <v>0</v>
      </c>
      <c r="C83">
        <v>84.705882352941174</v>
      </c>
      <c r="D83">
        <v>38.823529411764703</v>
      </c>
      <c r="E83">
        <v>0</v>
      </c>
      <c r="F83" s="9">
        <v>8.4705882352941178</v>
      </c>
    </row>
    <row r="84" spans="2:6">
      <c r="B84" s="8">
        <v>0</v>
      </c>
      <c r="C84">
        <v>91.764705882352942</v>
      </c>
      <c r="D84">
        <v>24.705882352941174</v>
      </c>
      <c r="E84">
        <v>0</v>
      </c>
      <c r="F84" s="9">
        <v>7.4117647058823515</v>
      </c>
    </row>
    <row r="85" spans="2:6">
      <c r="B85" s="10">
        <v>0</v>
      </c>
      <c r="C85" s="11">
        <v>40.645161290322584</v>
      </c>
      <c r="D85" s="11">
        <v>16.451612903225808</v>
      </c>
      <c r="E85" s="11">
        <v>0</v>
      </c>
      <c r="F85" s="12">
        <v>94.064516129032256</v>
      </c>
    </row>
    <row r="86" spans="2:6">
      <c r="D86"/>
    </row>
    <row r="87" spans="2:6">
      <c r="D87"/>
    </row>
    <row r="88" spans="2:6">
      <c r="D88"/>
    </row>
    <row r="89" spans="2:6">
      <c r="D89"/>
    </row>
    <row r="90" spans="2:6">
      <c r="D90"/>
    </row>
    <row r="91" spans="2:6">
      <c r="D91"/>
    </row>
  </sheetData>
  <mergeCells count="7">
    <mergeCell ref="A47:B47"/>
    <mergeCell ref="K1:O1"/>
    <mergeCell ref="A1:A2"/>
    <mergeCell ref="B1:B2"/>
    <mergeCell ref="D1:D2"/>
    <mergeCell ref="E1:J1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65CA-1AE3-48F7-8E55-FEC969CC37AD}">
  <dimension ref="A1:AU91"/>
  <sheetViews>
    <sheetView workbookViewId="0">
      <pane ySplit="2" topLeftCell="A28" activePane="bottomLeft" state="frozen"/>
      <selection pane="bottomLeft" activeCell="A6" sqref="A6:XFD6"/>
    </sheetView>
  </sheetViews>
  <sheetFormatPr defaultRowHeight="15"/>
  <cols>
    <col min="1" max="2" width="13" customWidth="1"/>
    <col min="3" max="3" width="42.42578125" bestFit="1" customWidth="1"/>
    <col min="4" max="4" width="19.42578125" bestFit="1" customWidth="1"/>
    <col min="5" max="5" width="9.140625" style="5" bestFit="1" customWidth="1"/>
    <col min="6" max="6" width="13.5703125" bestFit="1" customWidth="1"/>
    <col min="7" max="9" width="9.140625" bestFit="1" customWidth="1"/>
    <col min="10" max="10" width="15" bestFit="1" customWidth="1"/>
    <col min="11" max="11" width="15.5703125" customWidth="1"/>
    <col min="12" max="12" width="14" bestFit="1" customWidth="1"/>
    <col min="13" max="14" width="9.140625" bestFit="1" customWidth="1"/>
    <col min="15" max="15" width="6" bestFit="1" customWidth="1"/>
    <col min="16" max="16" width="15.42578125" bestFit="1" customWidth="1"/>
    <col min="17" max="17" width="9.140625" bestFit="1" customWidth="1"/>
    <col min="18" max="18" width="9.28515625" bestFit="1" customWidth="1"/>
    <col min="43" max="43" width="11.7109375" bestFit="1" customWidth="1"/>
  </cols>
  <sheetData>
    <row r="1" spans="1:17" s="1" customFormat="1">
      <c r="A1" s="44" t="s">
        <v>1</v>
      </c>
      <c r="C1" s="44" t="s">
        <v>2</v>
      </c>
      <c r="D1" s="44" t="s">
        <v>3</v>
      </c>
      <c r="E1" s="45" t="s">
        <v>4</v>
      </c>
      <c r="F1" s="38" t="s">
        <v>7</v>
      </c>
      <c r="G1" s="39"/>
      <c r="H1" s="39"/>
      <c r="I1" s="39"/>
      <c r="J1" s="39"/>
      <c r="K1" s="40"/>
      <c r="L1" s="39" t="s">
        <v>8</v>
      </c>
      <c r="M1" s="39"/>
      <c r="N1" s="39"/>
      <c r="O1" s="39"/>
      <c r="P1" s="40"/>
      <c r="Q1" s="2"/>
    </row>
    <row r="2" spans="1:17" s="1" customFormat="1">
      <c r="A2" s="44"/>
      <c r="C2" s="44"/>
      <c r="D2" s="44"/>
      <c r="E2" s="45"/>
      <c r="F2" s="6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3" t="s">
        <v>14</v>
      </c>
      <c r="L2" s="1" t="s">
        <v>9</v>
      </c>
      <c r="M2" s="1" t="s">
        <v>10</v>
      </c>
      <c r="N2" s="1" t="s">
        <v>11</v>
      </c>
      <c r="O2" s="1" t="s">
        <v>12</v>
      </c>
      <c r="P2" s="7" t="s">
        <v>15</v>
      </c>
    </row>
    <row r="3" spans="1:17">
      <c r="A3" t="s">
        <v>16</v>
      </c>
      <c r="B3">
        <v>1</v>
      </c>
      <c r="C3" t="s">
        <v>17</v>
      </c>
      <c r="D3">
        <v>750</v>
      </c>
      <c r="E3" s="4">
        <v>5.4</v>
      </c>
      <c r="F3" s="14">
        <v>77.099999999999994</v>
      </c>
      <c r="G3">
        <v>7.4</v>
      </c>
      <c r="H3">
        <v>2.2000000000000002</v>
      </c>
      <c r="I3">
        <v>2.5</v>
      </c>
      <c r="J3">
        <v>0</v>
      </c>
      <c r="K3" s="9">
        <v>100</v>
      </c>
      <c r="L3" s="15">
        <f>$D3/$K3*F3</f>
        <v>578.25</v>
      </c>
      <c r="M3" s="15">
        <f>$D3/$K3*G3</f>
        <v>55.5</v>
      </c>
      <c r="N3" s="15">
        <f>$D3/$K3*H3</f>
        <v>16.5</v>
      </c>
      <c r="O3" s="15">
        <f>$D3/$K3*I3</f>
        <v>18.75</v>
      </c>
      <c r="P3" s="16">
        <f>$D3/$K3*J3*0.3</f>
        <v>0</v>
      </c>
    </row>
    <row r="4" spans="1:17">
      <c r="B4">
        <v>2</v>
      </c>
      <c r="C4" t="s">
        <v>20</v>
      </c>
      <c r="D4">
        <v>500</v>
      </c>
      <c r="E4" s="5">
        <v>2.4</v>
      </c>
      <c r="F4" s="8">
        <v>40</v>
      </c>
      <c r="G4">
        <v>7</v>
      </c>
      <c r="H4">
        <v>1</v>
      </c>
      <c r="I4">
        <v>2.4</v>
      </c>
      <c r="J4">
        <v>0</v>
      </c>
      <c r="K4" s="9">
        <v>140</v>
      </c>
      <c r="L4" s="15">
        <f>$D4/$K4*F4</f>
        <v>142.85714285714286</v>
      </c>
      <c r="M4" s="15">
        <f>$D4/$K4*G4</f>
        <v>25</v>
      </c>
      <c r="N4" s="15">
        <f>$D4/$K4*H4</f>
        <v>3.5714285714285716</v>
      </c>
      <c r="O4" s="15">
        <f>$D4/$K4*I4</f>
        <v>8.5714285714285712</v>
      </c>
      <c r="P4" s="16">
        <f>$D4/$K4*J4*0.3</f>
        <v>0</v>
      </c>
    </row>
    <row r="5" spans="1:17">
      <c r="B5">
        <v>3</v>
      </c>
      <c r="C5" t="s">
        <v>23</v>
      </c>
      <c r="D5">
        <v>600</v>
      </c>
      <c r="E5" s="5">
        <v>2.93</v>
      </c>
      <c r="F5" s="8">
        <v>16</v>
      </c>
      <c r="G5">
        <v>10</v>
      </c>
      <c r="H5">
        <v>0</v>
      </c>
      <c r="I5">
        <v>0</v>
      </c>
      <c r="J5">
        <v>0</v>
      </c>
      <c r="K5" s="9">
        <v>100</v>
      </c>
      <c r="L5" s="15">
        <f>$D5/$K5*F5</f>
        <v>96</v>
      </c>
      <c r="M5" s="15">
        <f>$D5/$K5*G5</f>
        <v>60</v>
      </c>
      <c r="N5" s="15">
        <f>$D5/$K5*H5</f>
        <v>0</v>
      </c>
      <c r="O5" s="15">
        <f>$D5/$K5*I5</f>
        <v>0</v>
      </c>
      <c r="P5" s="16">
        <f>$D5/$K5*J5*0.3</f>
        <v>0</v>
      </c>
    </row>
    <row r="6" spans="1:17">
      <c r="B6">
        <v>4</v>
      </c>
      <c r="C6" s="3" t="s">
        <v>26</v>
      </c>
      <c r="D6">
        <v>480</v>
      </c>
      <c r="E6" s="5">
        <v>2.17</v>
      </c>
      <c r="F6" s="8">
        <v>30.2</v>
      </c>
      <c r="G6">
        <v>4.9000000000000004</v>
      </c>
      <c r="H6">
        <v>13</v>
      </c>
      <c r="I6">
        <v>1.2</v>
      </c>
      <c r="J6">
        <v>0</v>
      </c>
      <c r="K6" s="9">
        <v>80</v>
      </c>
      <c r="L6" s="15">
        <f>$D6/$K6*F6</f>
        <v>181.2</v>
      </c>
      <c r="M6" s="15">
        <f>$D6/$K6*G6</f>
        <v>29.400000000000002</v>
      </c>
      <c r="N6" s="15">
        <f>$D6/$K6*H6</f>
        <v>78</v>
      </c>
      <c r="O6" s="15">
        <f>$D6/$K6*I6</f>
        <v>7.1999999999999993</v>
      </c>
      <c r="P6" s="16">
        <f>$D6/$K6*J6*0.3</f>
        <v>0</v>
      </c>
    </row>
    <row r="7" spans="1:17">
      <c r="B7">
        <v>5</v>
      </c>
      <c r="C7" t="s">
        <v>29</v>
      </c>
      <c r="D7">
        <v>280</v>
      </c>
      <c r="E7" s="5">
        <v>8.9</v>
      </c>
      <c r="F7" s="8">
        <v>16</v>
      </c>
      <c r="G7">
        <v>3</v>
      </c>
      <c r="H7">
        <v>0</v>
      </c>
      <c r="I7">
        <v>0.6</v>
      </c>
      <c r="J7">
        <v>0</v>
      </c>
      <c r="K7" s="9">
        <v>28</v>
      </c>
      <c r="L7" s="15">
        <f>$D7/$K7*F7</f>
        <v>160</v>
      </c>
      <c r="M7" s="15">
        <f>$D7/$K7*G7</f>
        <v>30</v>
      </c>
      <c r="N7" s="15">
        <f>$D7/$K7*H7</f>
        <v>0</v>
      </c>
      <c r="O7" s="15">
        <f>$D7/$K7*I7</f>
        <v>6</v>
      </c>
      <c r="P7" s="16">
        <f>$D7/$K7*J7*0.3</f>
        <v>0</v>
      </c>
    </row>
    <row r="8" spans="1:17">
      <c r="B8">
        <v>6</v>
      </c>
      <c r="C8" s="3" t="s">
        <v>32</v>
      </c>
      <c r="D8">
        <v>360</v>
      </c>
      <c r="E8" s="5">
        <v>4.2</v>
      </c>
      <c r="F8" s="8">
        <v>63</v>
      </c>
      <c r="G8">
        <v>13</v>
      </c>
      <c r="H8">
        <v>24</v>
      </c>
      <c r="I8">
        <v>0</v>
      </c>
      <c r="J8">
        <v>0</v>
      </c>
      <c r="K8" s="9">
        <v>100</v>
      </c>
      <c r="L8" s="15">
        <f>$D8/$K8*F8</f>
        <v>226.8</v>
      </c>
      <c r="M8" s="15">
        <f>$D8/$K8*G8</f>
        <v>46.800000000000004</v>
      </c>
      <c r="N8" s="15">
        <f>$D8/$K8*H8</f>
        <v>86.4</v>
      </c>
      <c r="O8" s="15">
        <f>$D8/$K8*I8</f>
        <v>0</v>
      </c>
      <c r="P8" s="16">
        <f>$D8/$K8*J8*0.3</f>
        <v>0</v>
      </c>
    </row>
    <row r="9" spans="1:17">
      <c r="C9" s="3"/>
      <c r="F9" s="8"/>
      <c r="K9" s="9"/>
      <c r="L9" s="15"/>
      <c r="M9" s="15"/>
      <c r="N9" s="15"/>
      <c r="O9" s="15"/>
      <c r="P9" s="16"/>
    </row>
    <row r="10" spans="1:17">
      <c r="A10" t="s">
        <v>35</v>
      </c>
      <c r="B10">
        <v>7</v>
      </c>
      <c r="C10" s="3" t="s">
        <v>128</v>
      </c>
      <c r="D10">
        <v>200</v>
      </c>
      <c r="E10" s="5">
        <v>1.35</v>
      </c>
      <c r="F10" s="8">
        <v>0</v>
      </c>
      <c r="G10">
        <v>5</v>
      </c>
      <c r="H10">
        <v>0</v>
      </c>
      <c r="I10">
        <v>4.3</v>
      </c>
      <c r="J10">
        <v>14742</v>
      </c>
      <c r="K10" s="9">
        <v>180</v>
      </c>
      <c r="L10" s="15">
        <f>$D10/$K10*F10</f>
        <v>0</v>
      </c>
      <c r="M10" s="15">
        <f>$D10/$K10*G10</f>
        <v>5.5555555555555554</v>
      </c>
      <c r="N10" s="15">
        <f>$D10/$K10*H10</f>
        <v>0</v>
      </c>
      <c r="O10" s="15">
        <f>$D10/$K10*I10</f>
        <v>4.7777777777777777</v>
      </c>
      <c r="P10" s="16">
        <f>$D10/$K10*J10*0.3</f>
        <v>4914</v>
      </c>
    </row>
    <row r="11" spans="1:17">
      <c r="B11">
        <v>8</v>
      </c>
      <c r="C11" t="s">
        <v>38</v>
      </c>
      <c r="D11">
        <v>300</v>
      </c>
      <c r="E11" s="5">
        <v>1.83</v>
      </c>
      <c r="F11" s="8">
        <v>0</v>
      </c>
      <c r="G11">
        <v>3</v>
      </c>
      <c r="H11">
        <v>0</v>
      </c>
      <c r="I11">
        <v>2.7</v>
      </c>
      <c r="J11">
        <v>4366</v>
      </c>
      <c r="K11" s="9">
        <v>170</v>
      </c>
      <c r="L11" s="15">
        <f>$D11/$K11*F11</f>
        <v>0</v>
      </c>
      <c r="M11" s="15">
        <f>$D11/$K11*G11</f>
        <v>5.2941176470588234</v>
      </c>
      <c r="N11" s="15">
        <f>$D11/$K11*H11</f>
        <v>0</v>
      </c>
      <c r="O11" s="15">
        <f>$D11/$K11*I11</f>
        <v>4.7647058823529411</v>
      </c>
      <c r="P11" s="16">
        <f>$D11/$K11*J11*0.3</f>
        <v>2311.411764705882</v>
      </c>
    </row>
    <row r="12" spans="1:17">
      <c r="B12">
        <v>9</v>
      </c>
      <c r="C12" t="s">
        <v>41</v>
      </c>
      <c r="D12">
        <v>500</v>
      </c>
      <c r="E12" s="5">
        <v>0.95</v>
      </c>
      <c r="F12" s="8">
        <v>0</v>
      </c>
      <c r="G12">
        <v>2</v>
      </c>
      <c r="H12">
        <v>0</v>
      </c>
      <c r="I12">
        <v>5.0999999999999996</v>
      </c>
      <c r="J12">
        <v>38304</v>
      </c>
      <c r="K12" s="9">
        <v>156</v>
      </c>
      <c r="L12" s="15">
        <f>$D12/$K12*F12</f>
        <v>0</v>
      </c>
      <c r="M12" s="15">
        <f>$D12/$K12*G12</f>
        <v>6.4102564102564106</v>
      </c>
      <c r="N12" s="15">
        <f>$D12/$K12*H12</f>
        <v>0</v>
      </c>
      <c r="O12" s="15">
        <f>$D12/$K12*I12</f>
        <v>16.346153846153847</v>
      </c>
      <c r="P12" s="16">
        <f>$D12/$K12*J12*0.3</f>
        <v>36830.769230769234</v>
      </c>
    </row>
    <row r="13" spans="1:17">
      <c r="B13">
        <v>10</v>
      </c>
      <c r="C13" t="s">
        <v>44</v>
      </c>
      <c r="D13">
        <v>250</v>
      </c>
      <c r="E13" s="5">
        <v>3.18</v>
      </c>
      <c r="F13" s="8">
        <v>0</v>
      </c>
      <c r="G13">
        <v>5</v>
      </c>
      <c r="H13">
        <v>1</v>
      </c>
      <c r="I13">
        <v>4.5</v>
      </c>
      <c r="J13">
        <v>2165</v>
      </c>
      <c r="K13" s="9">
        <v>156</v>
      </c>
      <c r="L13" s="15">
        <f>$D13/$K13*F13</f>
        <v>0</v>
      </c>
      <c r="M13" s="15">
        <f>$D13/$K13*G13</f>
        <v>8.0128205128205128</v>
      </c>
      <c r="N13" s="15">
        <f>$D13/$K13*H13</f>
        <v>1.6025641025641026</v>
      </c>
      <c r="O13" s="15">
        <f>$D13/$K13*I13</f>
        <v>7.2115384615384617</v>
      </c>
      <c r="P13" s="16">
        <f>$D13/$K13*J13*0.3</f>
        <v>1040.8653846153845</v>
      </c>
    </row>
    <row r="14" spans="1:17">
      <c r="B14">
        <v>11</v>
      </c>
      <c r="C14" t="s">
        <v>47</v>
      </c>
      <c r="D14">
        <v>500</v>
      </c>
      <c r="E14" s="5">
        <v>5.5</v>
      </c>
      <c r="F14" s="8">
        <v>32</v>
      </c>
      <c r="G14">
        <v>5</v>
      </c>
      <c r="H14">
        <v>1</v>
      </c>
      <c r="I14">
        <v>3.9</v>
      </c>
      <c r="J14">
        <v>361</v>
      </c>
      <c r="K14" s="9">
        <v>164</v>
      </c>
      <c r="L14" s="15">
        <f>$D14/$K14*F14</f>
        <v>97.560975609756099</v>
      </c>
      <c r="M14" s="15">
        <f>$D14/$K14*G14</f>
        <v>15.24390243902439</v>
      </c>
      <c r="N14" s="15">
        <f>$D14/$K14*H14</f>
        <v>3.0487804878048781</v>
      </c>
      <c r="O14" s="15">
        <f>$D14/$K14*I14</f>
        <v>11.890243902439025</v>
      </c>
      <c r="P14" s="16">
        <f>$D14/$K14*J14*0.3</f>
        <v>330.1829268292683</v>
      </c>
    </row>
    <row r="15" spans="1:17">
      <c r="B15">
        <v>12</v>
      </c>
      <c r="C15" s="3" t="s">
        <v>50</v>
      </c>
      <c r="D15">
        <v>450</v>
      </c>
      <c r="E15" s="5">
        <v>2.4500000000000002</v>
      </c>
      <c r="F15" s="8">
        <v>2</v>
      </c>
      <c r="G15">
        <v>1</v>
      </c>
      <c r="H15">
        <v>0</v>
      </c>
      <c r="I15">
        <v>1.5</v>
      </c>
      <c r="J15">
        <v>9</v>
      </c>
      <c r="K15" s="9">
        <v>54</v>
      </c>
      <c r="L15" s="15">
        <f>$D15/$K15*F15</f>
        <v>16.666666666666668</v>
      </c>
      <c r="M15" s="15">
        <f>$D15/$K15*G15</f>
        <v>8.3333333333333339</v>
      </c>
      <c r="N15" s="15">
        <f>$D15/$K15*H15</f>
        <v>0</v>
      </c>
      <c r="O15" s="15">
        <f>$D15/$K15*I15</f>
        <v>12.5</v>
      </c>
      <c r="P15" s="16">
        <f>$D15/$K15*J15*0.3</f>
        <v>22.5</v>
      </c>
    </row>
    <row r="16" spans="1:17">
      <c r="B16">
        <v>13</v>
      </c>
      <c r="C16" t="s">
        <v>53</v>
      </c>
      <c r="D16">
        <v>100</v>
      </c>
      <c r="E16" s="5">
        <v>2.75</v>
      </c>
      <c r="F16" s="8">
        <v>8</v>
      </c>
      <c r="G16">
        <v>5</v>
      </c>
      <c r="H16">
        <v>1</v>
      </c>
      <c r="I16">
        <v>2.9</v>
      </c>
      <c r="J16">
        <v>970</v>
      </c>
      <c r="K16" s="9">
        <v>180</v>
      </c>
      <c r="L16" s="15">
        <f>$D16/$K16*F16</f>
        <v>4.4444444444444446</v>
      </c>
      <c r="M16" s="15">
        <f>$D16/$K16*G16</f>
        <v>2.7777777777777777</v>
      </c>
      <c r="N16" s="15">
        <f>$D16/$K16*H16</f>
        <v>0.55555555555555558</v>
      </c>
      <c r="O16" s="15">
        <f>$D16/$K16*I16</f>
        <v>1.6111111111111112</v>
      </c>
      <c r="P16" s="16">
        <f>$D16/$K16*J16*0.3</f>
        <v>161.66666666666666</v>
      </c>
    </row>
    <row r="17" spans="1:16">
      <c r="B17">
        <v>14</v>
      </c>
      <c r="C17" t="s">
        <v>56</v>
      </c>
      <c r="D17">
        <v>600</v>
      </c>
      <c r="E17" s="5">
        <v>1.95</v>
      </c>
      <c r="F17" s="8">
        <v>7</v>
      </c>
      <c r="G17">
        <v>2</v>
      </c>
      <c r="H17">
        <v>1</v>
      </c>
      <c r="I17">
        <v>3.5</v>
      </c>
      <c r="J17">
        <v>198</v>
      </c>
      <c r="K17" s="9">
        <v>150</v>
      </c>
      <c r="L17" s="15">
        <f>$D17/$K17*F17</f>
        <v>28</v>
      </c>
      <c r="M17" s="15">
        <f>$D17/$K17*G17</f>
        <v>8</v>
      </c>
      <c r="N17" s="15">
        <f>$D17/$K17*H17</f>
        <v>4</v>
      </c>
      <c r="O17" s="15">
        <f>$D17/$K17*I17</f>
        <v>14</v>
      </c>
      <c r="P17" s="16">
        <f>$D17/$K17*J17*0.3</f>
        <v>237.6</v>
      </c>
    </row>
    <row r="18" spans="1:16">
      <c r="B18">
        <v>15</v>
      </c>
      <c r="C18" s="3" t="s">
        <v>59</v>
      </c>
      <c r="D18">
        <v>800</v>
      </c>
      <c r="E18" s="5">
        <v>2.85</v>
      </c>
      <c r="F18" s="8">
        <v>0</v>
      </c>
      <c r="G18">
        <v>1</v>
      </c>
      <c r="H18">
        <v>0</v>
      </c>
      <c r="I18">
        <v>0.1</v>
      </c>
      <c r="J18">
        <v>73</v>
      </c>
      <c r="K18" s="9">
        <v>55</v>
      </c>
      <c r="L18" s="15">
        <f>$D18/$K18*F18</f>
        <v>0</v>
      </c>
      <c r="M18" s="15">
        <f>$D18/$K18*G18</f>
        <v>14.545454545454545</v>
      </c>
      <c r="N18" s="15">
        <f>$D18/$K18*H18</f>
        <v>0</v>
      </c>
      <c r="O18" s="15">
        <f>$D18/$K18*I18</f>
        <v>1.4545454545454546</v>
      </c>
      <c r="P18" s="16">
        <f>$D18/$K18*J18*0.3</f>
        <v>318.5454545454545</v>
      </c>
    </row>
    <row r="19" spans="1:16">
      <c r="F19" s="8"/>
      <c r="K19" s="9"/>
      <c r="L19" s="15"/>
      <c r="M19" s="15"/>
      <c r="N19" s="15"/>
      <c r="O19" s="15"/>
      <c r="P19" s="16"/>
    </row>
    <row r="20" spans="1:16">
      <c r="A20" t="s">
        <v>62</v>
      </c>
      <c r="B20">
        <v>16</v>
      </c>
      <c r="C20" t="s">
        <v>63</v>
      </c>
      <c r="D20">
        <v>1000</v>
      </c>
      <c r="E20" s="5">
        <v>8.4</v>
      </c>
      <c r="F20" s="8">
        <v>17</v>
      </c>
      <c r="G20">
        <v>13</v>
      </c>
      <c r="H20">
        <v>0</v>
      </c>
      <c r="I20">
        <v>0</v>
      </c>
      <c r="J20">
        <v>16</v>
      </c>
      <c r="K20" s="9">
        <v>227</v>
      </c>
      <c r="L20" s="15">
        <f>$D20/$K20*F20</f>
        <v>74.889867841409682</v>
      </c>
      <c r="M20" s="15">
        <f>$D20/$K20*G20</f>
        <v>57.268722466960348</v>
      </c>
      <c r="N20" s="15">
        <f>$D20/$K20*H20</f>
        <v>0</v>
      </c>
      <c r="O20" s="15">
        <f>$D20/$K20*I20</f>
        <v>0</v>
      </c>
      <c r="P20" s="16">
        <f>$D20/$K20*J20*0.3</f>
        <v>21.145374449339204</v>
      </c>
    </row>
    <row r="21" spans="1:16">
      <c r="B21">
        <v>17</v>
      </c>
      <c r="C21" t="s">
        <v>66</v>
      </c>
      <c r="D21">
        <v>2000</v>
      </c>
      <c r="E21" s="5">
        <v>6.1</v>
      </c>
      <c r="F21" s="8">
        <v>11</v>
      </c>
      <c r="G21">
        <v>8</v>
      </c>
      <c r="H21">
        <v>8</v>
      </c>
      <c r="I21">
        <v>0</v>
      </c>
      <c r="J21">
        <v>307</v>
      </c>
      <c r="K21" s="9">
        <v>224</v>
      </c>
      <c r="L21" s="15">
        <f>$D21/$K21*F21</f>
        <v>98.214285714285722</v>
      </c>
      <c r="M21" s="15">
        <f>$D21/$K21*G21</f>
        <v>71.428571428571431</v>
      </c>
      <c r="N21" s="15">
        <f>$D21/$K21*H21</f>
        <v>71.428571428571431</v>
      </c>
      <c r="O21" s="15">
        <f>$D21/$K21*I21</f>
        <v>0</v>
      </c>
      <c r="P21" s="16">
        <f>$D21/$K21*J21*0.3</f>
        <v>822.32142857142856</v>
      </c>
    </row>
    <row r="22" spans="1:16">
      <c r="B22">
        <v>18</v>
      </c>
      <c r="C22" t="s">
        <v>69</v>
      </c>
      <c r="D22">
        <v>946</v>
      </c>
      <c r="E22" s="5">
        <v>3.63</v>
      </c>
      <c r="F22" s="8">
        <v>11</v>
      </c>
      <c r="G22">
        <v>8</v>
      </c>
      <c r="H22">
        <v>8</v>
      </c>
      <c r="I22">
        <v>0</v>
      </c>
      <c r="J22">
        <v>307</v>
      </c>
      <c r="K22" s="9">
        <v>224</v>
      </c>
      <c r="L22" s="15">
        <f>$D22/$K22*F22</f>
        <v>46.455357142857139</v>
      </c>
      <c r="M22" s="15">
        <f>$D22/$K22*G22</f>
        <v>33.785714285714285</v>
      </c>
      <c r="N22" s="15">
        <f>$D22/$K22*H22</f>
        <v>33.785714285714285</v>
      </c>
      <c r="O22" s="15">
        <f>$D22/$K22*I22</f>
        <v>0</v>
      </c>
      <c r="P22" s="16">
        <f>$D22/$K22*J22*0.3</f>
        <v>388.9580357142857</v>
      </c>
    </row>
    <row r="23" spans="1:16">
      <c r="B23">
        <v>19</v>
      </c>
      <c r="C23" t="s">
        <v>72</v>
      </c>
      <c r="D23">
        <v>250</v>
      </c>
      <c r="E23" s="5">
        <v>7.45</v>
      </c>
      <c r="F23" s="8">
        <v>1</v>
      </c>
      <c r="G23">
        <v>2</v>
      </c>
      <c r="H23">
        <v>10</v>
      </c>
      <c r="I23">
        <v>0</v>
      </c>
      <c r="J23">
        <v>405</v>
      </c>
      <c r="K23" s="9">
        <v>28</v>
      </c>
      <c r="L23" s="15">
        <f>$D23/$K23*F23</f>
        <v>8.9285714285714288</v>
      </c>
      <c r="M23" s="15">
        <f>$D23/$K23*G23</f>
        <v>17.857142857142858</v>
      </c>
      <c r="N23" s="15">
        <f>$D23/$K23*H23</f>
        <v>89.285714285714292</v>
      </c>
      <c r="O23" s="15">
        <f>$D23/$K23*I23</f>
        <v>0</v>
      </c>
      <c r="P23" s="16">
        <f>$D23/$K23*J23*0.3</f>
        <v>1084.8214285714287</v>
      </c>
    </row>
    <row r="24" spans="1:16">
      <c r="B24">
        <v>20</v>
      </c>
      <c r="C24" t="s">
        <v>75</v>
      </c>
      <c r="D24">
        <v>550</v>
      </c>
      <c r="E24" s="5">
        <v>2.85</v>
      </c>
      <c r="F24" s="8">
        <v>1</v>
      </c>
      <c r="G24">
        <v>5</v>
      </c>
      <c r="H24">
        <v>4</v>
      </c>
      <c r="I24">
        <v>0</v>
      </c>
      <c r="J24">
        <v>279</v>
      </c>
      <c r="K24" s="9">
        <v>44</v>
      </c>
      <c r="L24" s="15">
        <f>$D24/$K24*F24</f>
        <v>12.5</v>
      </c>
      <c r="M24" s="15">
        <f>$D24/$K24*G24</f>
        <v>62.5</v>
      </c>
      <c r="N24" s="15">
        <f>$D24/$K24*H24</f>
        <v>50</v>
      </c>
      <c r="O24" s="15">
        <f>$D24/$K24*I24</f>
        <v>0</v>
      </c>
      <c r="P24" s="16">
        <f>$D24/$K24*J24*0.3</f>
        <v>1046.25</v>
      </c>
    </row>
    <row r="25" spans="1:16">
      <c r="B25">
        <v>21</v>
      </c>
      <c r="C25" t="s">
        <v>75</v>
      </c>
      <c r="D25">
        <v>1650</v>
      </c>
      <c r="E25" s="5">
        <v>6.65</v>
      </c>
      <c r="F25" s="8">
        <v>1</v>
      </c>
      <c r="G25">
        <v>5</v>
      </c>
      <c r="H25">
        <v>4</v>
      </c>
      <c r="I25">
        <v>0</v>
      </c>
      <c r="J25">
        <v>279</v>
      </c>
      <c r="K25" s="9">
        <v>44</v>
      </c>
      <c r="L25" s="15">
        <f>$D25/$K25*F25</f>
        <v>37.5</v>
      </c>
      <c r="M25" s="15">
        <f>$D25/$K25*G25</f>
        <v>187.5</v>
      </c>
      <c r="N25" s="15">
        <f>$D25/$K25*H25</f>
        <v>150</v>
      </c>
      <c r="O25" s="15">
        <f>$D25/$K25*I25</f>
        <v>0</v>
      </c>
      <c r="P25" s="16">
        <f>$D25/$K25*J25*0.3</f>
        <v>3138.75</v>
      </c>
    </row>
    <row r="26" spans="1:16">
      <c r="F26" s="8"/>
      <c r="K26" s="9"/>
      <c r="L26" s="15"/>
      <c r="M26" s="15"/>
      <c r="N26" s="15"/>
      <c r="O26" s="15"/>
      <c r="P26" s="16"/>
    </row>
    <row r="27" spans="1:16">
      <c r="A27" t="s">
        <v>10</v>
      </c>
      <c r="B27">
        <v>22</v>
      </c>
      <c r="C27" t="s">
        <v>80</v>
      </c>
      <c r="D27">
        <v>1200</v>
      </c>
      <c r="E27" s="5">
        <v>11.1</v>
      </c>
      <c r="F27" s="8">
        <v>0</v>
      </c>
      <c r="G27">
        <v>27</v>
      </c>
      <c r="H27">
        <v>6</v>
      </c>
      <c r="I27">
        <v>0</v>
      </c>
      <c r="J27">
        <v>1</v>
      </c>
      <c r="K27" s="9">
        <v>100</v>
      </c>
      <c r="L27" s="15">
        <f>$D27/$K27*F27</f>
        <v>0</v>
      </c>
      <c r="M27" s="15">
        <f>$D27/$K27*G27</f>
        <v>324</v>
      </c>
      <c r="N27" s="15">
        <f>$D27/$K27*H27</f>
        <v>72</v>
      </c>
      <c r="O27" s="15">
        <f>$D27/$K27*I27</f>
        <v>0</v>
      </c>
      <c r="P27" s="16">
        <f>$D27/$K27*J27*0.3</f>
        <v>3.5999999999999996</v>
      </c>
    </row>
    <row r="28" spans="1:16">
      <c r="A28" t="s">
        <v>83</v>
      </c>
      <c r="B28">
        <v>23</v>
      </c>
      <c r="C28" t="s">
        <v>84</v>
      </c>
      <c r="D28">
        <v>200</v>
      </c>
      <c r="E28" s="5">
        <v>3.35</v>
      </c>
      <c r="F28" s="8">
        <v>0</v>
      </c>
      <c r="G28">
        <v>27</v>
      </c>
      <c r="H28">
        <v>3</v>
      </c>
      <c r="I28">
        <v>0</v>
      </c>
      <c r="J28">
        <v>1</v>
      </c>
      <c r="K28" s="9">
        <v>100</v>
      </c>
      <c r="L28" s="15">
        <f>$D28/$K28*F28</f>
        <v>0</v>
      </c>
      <c r="M28" s="15">
        <f>$D28/$K28*G28</f>
        <v>54</v>
      </c>
      <c r="N28" s="15">
        <f>$D28/$K28*H28</f>
        <v>6</v>
      </c>
      <c r="O28" s="15">
        <f>$D28/$K28*I28</f>
        <v>0</v>
      </c>
      <c r="P28" s="16">
        <f>$D28/$K28*J28*0.3</f>
        <v>0.6</v>
      </c>
    </row>
    <row r="29" spans="1:16">
      <c r="B29">
        <v>24</v>
      </c>
      <c r="C29" t="s">
        <v>87</v>
      </c>
      <c r="D29">
        <v>1100</v>
      </c>
      <c r="E29" s="5">
        <v>22</v>
      </c>
      <c r="F29" s="8">
        <v>0</v>
      </c>
      <c r="G29">
        <v>27</v>
      </c>
      <c r="H29">
        <v>6</v>
      </c>
      <c r="I29">
        <v>0</v>
      </c>
      <c r="J29">
        <v>1</v>
      </c>
      <c r="K29" s="9">
        <v>100</v>
      </c>
      <c r="L29" s="15">
        <f>$D29/$K29*F29</f>
        <v>0</v>
      </c>
      <c r="M29" s="15">
        <f>$D29/$K29*G29</f>
        <v>297</v>
      </c>
      <c r="N29" s="15">
        <f>$D29/$K29*H29</f>
        <v>66</v>
      </c>
      <c r="O29" s="15">
        <f>$D29/$K29*I29</f>
        <v>0</v>
      </c>
      <c r="P29" s="16">
        <f>$D29/$K29*J29*0.3</f>
        <v>3.3</v>
      </c>
    </row>
    <row r="30" spans="1:16">
      <c r="B30">
        <v>25</v>
      </c>
      <c r="C30" t="s">
        <v>90</v>
      </c>
      <c r="D30">
        <v>1050</v>
      </c>
      <c r="E30" s="5">
        <v>9.75</v>
      </c>
      <c r="F30" s="8">
        <v>0</v>
      </c>
      <c r="G30">
        <v>27</v>
      </c>
      <c r="H30">
        <v>6</v>
      </c>
      <c r="I30">
        <v>0</v>
      </c>
      <c r="J30">
        <v>1</v>
      </c>
      <c r="K30" s="9">
        <v>100</v>
      </c>
      <c r="L30" s="15">
        <f>$D30/$K30*F30</f>
        <v>0</v>
      </c>
      <c r="M30" s="15">
        <f>$D30/$K30*G30</f>
        <v>283.5</v>
      </c>
      <c r="N30" s="15">
        <f>$D30/$K30*H30</f>
        <v>63</v>
      </c>
      <c r="O30" s="15">
        <f>$D30/$K30*I30</f>
        <v>0</v>
      </c>
      <c r="P30" s="16">
        <f>$D30/$K30*J30*0.3</f>
        <v>3.15</v>
      </c>
    </row>
    <row r="31" spans="1:16">
      <c r="B31">
        <v>26</v>
      </c>
      <c r="C31" t="s">
        <v>93</v>
      </c>
      <c r="D31">
        <v>200</v>
      </c>
      <c r="E31" s="5">
        <v>4.1500000000000004</v>
      </c>
      <c r="F31" s="8">
        <v>0</v>
      </c>
      <c r="G31">
        <v>27</v>
      </c>
      <c r="H31">
        <v>6</v>
      </c>
      <c r="I31">
        <v>0</v>
      </c>
      <c r="J31">
        <v>1</v>
      </c>
      <c r="K31" s="9">
        <v>100</v>
      </c>
      <c r="L31" s="15">
        <f>$D31/$K31*F31</f>
        <v>0</v>
      </c>
      <c r="M31" s="15">
        <f>$D31/$K31*G31</f>
        <v>54</v>
      </c>
      <c r="N31" s="15">
        <f>$D31/$K31*H31</f>
        <v>12</v>
      </c>
      <c r="O31" s="15">
        <f>$D31/$K31*I31</f>
        <v>0</v>
      </c>
      <c r="P31" s="16">
        <f>$D31/$K31*J31*0.3</f>
        <v>0.6</v>
      </c>
    </row>
    <row r="32" spans="1:16">
      <c r="B32">
        <v>27</v>
      </c>
      <c r="C32" t="s">
        <v>96</v>
      </c>
      <c r="D32">
        <v>200</v>
      </c>
      <c r="E32" s="5">
        <v>3.35</v>
      </c>
      <c r="F32" s="8">
        <v>0</v>
      </c>
      <c r="G32">
        <v>13</v>
      </c>
      <c r="H32">
        <v>3</v>
      </c>
      <c r="I32">
        <v>0</v>
      </c>
      <c r="J32">
        <v>1</v>
      </c>
      <c r="K32" s="9">
        <v>100</v>
      </c>
      <c r="L32" s="15">
        <f>$D32/$K32*F32</f>
        <v>0</v>
      </c>
      <c r="M32" s="15">
        <f>$D32/$K32*G32</f>
        <v>26</v>
      </c>
      <c r="N32" s="15">
        <f>$D32/$K32*H32</f>
        <v>6</v>
      </c>
      <c r="O32" s="15">
        <f>$D32/$K32*I32</f>
        <v>0</v>
      </c>
      <c r="P32" s="16">
        <f>$D32/$K32*J32*0.3</f>
        <v>0.6</v>
      </c>
    </row>
    <row r="33" spans="1:43">
      <c r="B33">
        <v>28</v>
      </c>
      <c r="C33" t="s">
        <v>99</v>
      </c>
      <c r="D33">
        <v>250</v>
      </c>
      <c r="E33" s="5">
        <v>7.16</v>
      </c>
      <c r="F33" s="8">
        <v>0</v>
      </c>
      <c r="G33">
        <v>28</v>
      </c>
      <c r="H33">
        <v>11</v>
      </c>
      <c r="I33">
        <v>0</v>
      </c>
      <c r="J33">
        <v>3</v>
      </c>
      <c r="K33" s="9">
        <v>100</v>
      </c>
      <c r="L33" s="15">
        <f>$D33/$K33*F33</f>
        <v>0</v>
      </c>
      <c r="M33" s="15">
        <f>$D33/$K33*G33</f>
        <v>70</v>
      </c>
      <c r="N33" s="15">
        <f>$D33/$K33*H33</f>
        <v>27.5</v>
      </c>
      <c r="O33" s="15">
        <f>$D33/$K33*I33</f>
        <v>0</v>
      </c>
      <c r="P33" s="16">
        <f>$D33/$K33*J33*0.3</f>
        <v>2.25</v>
      </c>
    </row>
    <row r="34" spans="1:43">
      <c r="B34">
        <v>29</v>
      </c>
      <c r="C34" t="s">
        <v>102</v>
      </c>
      <c r="D34">
        <v>250</v>
      </c>
      <c r="E34" s="5">
        <v>7.9</v>
      </c>
      <c r="F34" s="8">
        <v>0</v>
      </c>
      <c r="G34">
        <v>28</v>
      </c>
      <c r="H34">
        <v>11</v>
      </c>
      <c r="I34">
        <v>0</v>
      </c>
      <c r="J34">
        <v>3</v>
      </c>
      <c r="K34" s="9">
        <v>100</v>
      </c>
      <c r="L34" s="15">
        <f>$D34/$K34*F34</f>
        <v>0</v>
      </c>
      <c r="M34" s="15">
        <f>$D34/$K34*G34</f>
        <v>70</v>
      </c>
      <c r="N34" s="15">
        <f>$D34/$K34*H34</f>
        <v>27.5</v>
      </c>
      <c r="O34" s="15">
        <f>$D34/$K34*I34</f>
        <v>0</v>
      </c>
      <c r="P34" s="16">
        <f>$D34/$K34*J34*0.3</f>
        <v>2.25</v>
      </c>
    </row>
    <row r="35" spans="1:43">
      <c r="B35">
        <v>30</v>
      </c>
      <c r="C35" t="s">
        <v>105</v>
      </c>
      <c r="D35">
        <v>300</v>
      </c>
      <c r="E35" s="5">
        <v>6.6</v>
      </c>
      <c r="F35" s="8">
        <v>0</v>
      </c>
      <c r="G35">
        <v>24</v>
      </c>
      <c r="H35">
        <v>11</v>
      </c>
      <c r="I35">
        <v>0</v>
      </c>
      <c r="J35">
        <v>8</v>
      </c>
      <c r="K35" s="9">
        <v>85</v>
      </c>
      <c r="L35" s="15">
        <f>$D35/$K35*F35</f>
        <v>0</v>
      </c>
      <c r="M35" s="15">
        <f>$D35/$K35*G35</f>
        <v>84.705882352941174</v>
      </c>
      <c r="N35" s="15">
        <f>$D35/$K35*H35</f>
        <v>38.823529411764703</v>
      </c>
      <c r="O35" s="15">
        <f>$D35/$K35*I35</f>
        <v>0</v>
      </c>
      <c r="P35" s="16">
        <f>$D35/$K35*J35*0.3</f>
        <v>8.4705882352941178</v>
      </c>
    </row>
    <row r="36" spans="1:43">
      <c r="B36">
        <v>31</v>
      </c>
      <c r="C36" s="3" t="s">
        <v>108</v>
      </c>
      <c r="D36">
        <v>300</v>
      </c>
      <c r="E36" s="5">
        <v>9.6300000000000008</v>
      </c>
      <c r="F36" s="8">
        <v>0</v>
      </c>
      <c r="G36">
        <v>26</v>
      </c>
      <c r="H36">
        <v>7</v>
      </c>
      <c r="I36">
        <v>0</v>
      </c>
      <c r="J36">
        <v>7</v>
      </c>
      <c r="K36" s="9">
        <v>85</v>
      </c>
      <c r="L36" s="15">
        <f>$D36/$K36*F36</f>
        <v>0</v>
      </c>
      <c r="M36" s="15">
        <f>$D36/$K36*G36</f>
        <v>91.764705882352942</v>
      </c>
      <c r="N36" s="15">
        <f>$D36/$K36*H36</f>
        <v>24.705882352941174</v>
      </c>
      <c r="O36" s="15">
        <f>$D36/$K36*I36</f>
        <v>0</v>
      </c>
      <c r="P36" s="16">
        <f>$D36/$K36*J36*0.3</f>
        <v>7.4117647058823515</v>
      </c>
    </row>
    <row r="37" spans="1:43">
      <c r="B37">
        <v>32</v>
      </c>
      <c r="C37" t="s">
        <v>111</v>
      </c>
      <c r="D37">
        <v>150</v>
      </c>
      <c r="E37" s="5">
        <v>6.91</v>
      </c>
      <c r="F37" s="8">
        <v>0</v>
      </c>
      <c r="G37">
        <v>42</v>
      </c>
      <c r="H37">
        <v>17</v>
      </c>
      <c r="I37">
        <v>0</v>
      </c>
      <c r="J37">
        <v>324</v>
      </c>
      <c r="K37" s="9">
        <v>155</v>
      </c>
      <c r="L37" s="15">
        <f>$D37/$K37*F37</f>
        <v>0</v>
      </c>
      <c r="M37" s="15">
        <f>$D37/$K37*G37</f>
        <v>40.645161290322584</v>
      </c>
      <c r="N37" s="15">
        <f>$D37/$K37*H37</f>
        <v>16.451612903225808</v>
      </c>
      <c r="O37" s="15">
        <f>$D37/$K37*I37</f>
        <v>0</v>
      </c>
      <c r="P37" s="16">
        <f>$D37/$K37*J37*0.3</f>
        <v>94.064516129032256</v>
      </c>
    </row>
    <row r="39" spans="1:43">
      <c r="D39" t="s">
        <v>116</v>
      </c>
      <c r="E39" t="s">
        <v>130</v>
      </c>
      <c r="I39" s="31" t="s">
        <v>118</v>
      </c>
      <c r="J39" s="27"/>
      <c r="K39" s="27"/>
      <c r="L39" s="27"/>
      <c r="M39" s="28"/>
    </row>
    <row r="40" spans="1:43">
      <c r="C40" t="s">
        <v>119</v>
      </c>
      <c r="D40">
        <v>130</v>
      </c>
      <c r="E40">
        <f>7*D40</f>
        <v>910</v>
      </c>
      <c r="G40">
        <v>910</v>
      </c>
      <c r="I40" s="10">
        <v>910</v>
      </c>
      <c r="J40" s="11">
        <v>322</v>
      </c>
      <c r="K40" s="11">
        <v>362.87439999999998</v>
      </c>
      <c r="L40" s="11">
        <v>196</v>
      </c>
      <c r="M40" s="12">
        <v>5250</v>
      </c>
    </row>
    <row r="41" spans="1:43">
      <c r="C41" t="s">
        <v>10</v>
      </c>
      <c r="D41">
        <v>46</v>
      </c>
      <c r="E41">
        <f>7*D41</f>
        <v>322</v>
      </c>
      <c r="G41">
        <v>322</v>
      </c>
    </row>
    <row r="42" spans="1:43">
      <c r="C42" t="s">
        <v>120</v>
      </c>
      <c r="D42">
        <v>51.839199999999998</v>
      </c>
      <c r="E42">
        <f>7*D42</f>
        <v>362.87439999999998</v>
      </c>
      <c r="G42">
        <v>362.87439999999998</v>
      </c>
    </row>
    <row r="43" spans="1:43">
      <c r="C43" t="s">
        <v>12</v>
      </c>
      <c r="D43">
        <v>28</v>
      </c>
      <c r="E43">
        <f>7*D43</f>
        <v>196</v>
      </c>
      <c r="G43">
        <v>196</v>
      </c>
    </row>
    <row r="44" spans="1:43">
      <c r="C44" t="s">
        <v>121</v>
      </c>
      <c r="D44">
        <v>750</v>
      </c>
      <c r="E44">
        <f>7*D44</f>
        <v>5250</v>
      </c>
      <c r="G44">
        <v>5250</v>
      </c>
    </row>
    <row r="47" spans="1:43" ht="20.25" customHeight="1">
      <c r="A47" s="41" t="s">
        <v>123</v>
      </c>
      <c r="B47" s="42"/>
      <c r="C47" s="42"/>
      <c r="D47" s="26">
        <v>5.4</v>
      </c>
      <c r="E47" s="27">
        <v>2.4</v>
      </c>
      <c r="F47" s="27">
        <v>2.93</v>
      </c>
      <c r="G47" s="27">
        <v>2.17</v>
      </c>
      <c r="H47" s="27">
        <v>8.9</v>
      </c>
      <c r="I47" s="27">
        <v>4.2</v>
      </c>
      <c r="J47" s="27"/>
      <c r="K47" s="27">
        <v>1.35</v>
      </c>
      <c r="L47" s="27">
        <v>1.83</v>
      </c>
      <c r="M47" s="27">
        <v>0.95</v>
      </c>
      <c r="N47" s="27">
        <v>3.18</v>
      </c>
      <c r="O47" s="27">
        <v>5.5</v>
      </c>
      <c r="P47" s="27">
        <v>2.4500000000000002</v>
      </c>
      <c r="Q47" s="27">
        <v>2.75</v>
      </c>
      <c r="R47" s="27">
        <v>1.95</v>
      </c>
      <c r="S47" s="27">
        <v>2.85</v>
      </c>
      <c r="T47" s="27"/>
      <c r="U47" s="27"/>
      <c r="V47" s="27"/>
      <c r="W47" s="27">
        <v>8.4</v>
      </c>
      <c r="X47" s="27">
        <v>6.1</v>
      </c>
      <c r="Y47" s="27">
        <v>3.63</v>
      </c>
      <c r="Z47" s="27">
        <v>7.45</v>
      </c>
      <c r="AA47" s="27">
        <v>2.85</v>
      </c>
      <c r="AB47" s="27">
        <v>6.65</v>
      </c>
      <c r="AC47" s="27"/>
      <c r="AD47" s="27"/>
      <c r="AE47" s="27">
        <v>11.1</v>
      </c>
      <c r="AF47" s="27">
        <v>3.35</v>
      </c>
      <c r="AG47" s="27">
        <v>22</v>
      </c>
      <c r="AH47" s="27">
        <v>9.75</v>
      </c>
      <c r="AI47" s="27">
        <v>4.1500000000000004</v>
      </c>
      <c r="AJ47" s="27">
        <v>3.35</v>
      </c>
      <c r="AK47" s="27">
        <v>7.16</v>
      </c>
      <c r="AL47" s="27">
        <v>7.9</v>
      </c>
      <c r="AM47" s="27">
        <v>6.6</v>
      </c>
      <c r="AN47" s="27">
        <v>9.6300000000000008</v>
      </c>
      <c r="AO47" s="28">
        <v>6.91</v>
      </c>
      <c r="AP47" s="5"/>
      <c r="AQ47" s="5" t="str">
        <f>_xlfn.TEXTJOIN("; ", TRUE, D47:AO47)</f>
        <v>5.4; 2.4; 2.93; 2.17; 8.9; 4.2; 1.35; 1.83; 0.95; 3.18; 5.5; 2.45; 2.75; 1.95; 2.85; 8.4; 6.1; 3.63; 7.45; 2.85; 6.65; 11.1; 3.35; 22; 9.75; 4.15; 3.35; 7.16; 7.9; 6.6; 9.63; 6.91</v>
      </c>
    </row>
    <row r="49" spans="3:47">
      <c r="C49" s="17" t="s">
        <v>129</v>
      </c>
      <c r="D49" s="25"/>
      <c r="E49" s="29"/>
      <c r="F49" s="25"/>
      <c r="G49" s="30"/>
      <c r="I49" s="22" t="s">
        <v>126</v>
      </c>
      <c r="J49" s="25" t="s">
        <v>119</v>
      </c>
      <c r="K49" s="18">
        <v>578.25</v>
      </c>
      <c r="L49" s="18">
        <v>142.85714285714286</v>
      </c>
      <c r="M49" s="18">
        <v>96</v>
      </c>
      <c r="N49" s="18">
        <v>181.2</v>
      </c>
      <c r="O49" s="18">
        <v>160</v>
      </c>
      <c r="P49" s="18">
        <v>226.8</v>
      </c>
      <c r="Q49" s="18"/>
      <c r="R49" s="18">
        <v>0</v>
      </c>
      <c r="S49" s="18">
        <v>0</v>
      </c>
      <c r="T49" s="18">
        <v>0</v>
      </c>
      <c r="U49" s="18">
        <v>0</v>
      </c>
      <c r="V49" s="18">
        <v>97.560975609756099</v>
      </c>
      <c r="W49" s="18">
        <v>16.666666666666668</v>
      </c>
      <c r="X49" s="18">
        <v>4.4444444444444446</v>
      </c>
      <c r="Y49" s="18">
        <v>28</v>
      </c>
      <c r="Z49" s="18">
        <v>0</v>
      </c>
      <c r="AA49" s="18"/>
      <c r="AB49" s="18">
        <v>74.889867841409682</v>
      </c>
      <c r="AC49" s="18">
        <v>98.214285714285722</v>
      </c>
      <c r="AD49" s="18">
        <v>46.455357142857139</v>
      </c>
      <c r="AE49" s="18">
        <v>8.9285714285714288</v>
      </c>
      <c r="AF49" s="18">
        <v>12.5</v>
      </c>
      <c r="AG49" s="18">
        <v>37.5</v>
      </c>
      <c r="AH49" s="18"/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9">
        <v>0</v>
      </c>
      <c r="AU49" t="str">
        <f>_xlfn.TEXTJOIN(" ", TRUE,K49:AS49)</f>
        <v>578.25 142.857142857143 96 181.2 160 226.8 0 0 0 0 97.5609756097561 16.6666666666667 4.44444444444444 28 0 74.8898678414097 98.2142857142857 46.4553571428571 8.92857142857143 12.5 37.5 0 0 0 0 0 0 0 0 0 0 0</v>
      </c>
    </row>
    <row r="50" spans="3:47">
      <c r="C50" s="6" t="s">
        <v>9</v>
      </c>
      <c r="D50" s="1" t="s">
        <v>10</v>
      </c>
      <c r="E50" s="1" t="s">
        <v>11</v>
      </c>
      <c r="F50" s="1" t="s">
        <v>12</v>
      </c>
      <c r="G50" s="7" t="s">
        <v>15</v>
      </c>
      <c r="I50" s="23"/>
      <c r="J50" t="s">
        <v>10</v>
      </c>
      <c r="K50" s="15">
        <v>55.5</v>
      </c>
      <c r="L50" s="15">
        <v>25</v>
      </c>
      <c r="M50" s="15">
        <v>60</v>
      </c>
      <c r="N50" s="15">
        <v>29.400000000000002</v>
      </c>
      <c r="O50" s="15">
        <v>30</v>
      </c>
      <c r="P50" s="15">
        <v>46.800000000000004</v>
      </c>
      <c r="Q50" s="15"/>
      <c r="R50" s="15">
        <v>5.5555555555555554</v>
      </c>
      <c r="S50" s="15">
        <v>5.2941176470588234</v>
      </c>
      <c r="T50" s="15">
        <v>6.4102564102564106</v>
      </c>
      <c r="U50" s="15">
        <v>8.0128205128205128</v>
      </c>
      <c r="V50" s="15">
        <v>15.24390243902439</v>
      </c>
      <c r="W50" s="15">
        <v>8.3333333333333339</v>
      </c>
      <c r="X50" s="15">
        <v>2.7777777777777777</v>
      </c>
      <c r="Y50" s="15">
        <v>8</v>
      </c>
      <c r="Z50" s="15">
        <v>14.545454545454545</v>
      </c>
      <c r="AA50" s="15"/>
      <c r="AB50" s="15">
        <v>57.268722466960348</v>
      </c>
      <c r="AC50" s="15">
        <v>71.428571428571431</v>
      </c>
      <c r="AD50" s="15">
        <v>33.785714285714285</v>
      </c>
      <c r="AE50" s="15">
        <v>17.857142857142858</v>
      </c>
      <c r="AF50" s="15">
        <v>62.5</v>
      </c>
      <c r="AG50" s="15">
        <v>187.5</v>
      </c>
      <c r="AH50" s="15"/>
      <c r="AI50" s="15">
        <v>324</v>
      </c>
      <c r="AJ50" s="15">
        <v>54</v>
      </c>
      <c r="AK50" s="15">
        <v>297</v>
      </c>
      <c r="AL50" s="15">
        <v>283.5</v>
      </c>
      <c r="AM50" s="15">
        <v>54</v>
      </c>
      <c r="AN50" s="15">
        <v>26</v>
      </c>
      <c r="AO50" s="15">
        <v>70</v>
      </c>
      <c r="AP50" s="15">
        <v>70</v>
      </c>
      <c r="AQ50" s="15">
        <v>84.705882352941174</v>
      </c>
      <c r="AR50" s="15">
        <v>91.764705882352942</v>
      </c>
      <c r="AS50" s="16">
        <v>40.645161290322584</v>
      </c>
      <c r="AU50" t="str">
        <f>_xlfn.TEXTJOIN(" ", TRUE,K50:AS50)</f>
        <v>55.5 25 60 29.4 30 46.8 5.55555555555556 5.29411764705882 6.41025641025641 8.01282051282051 15.2439024390244 8.33333333333333 2.77777777777778 8 14.5454545454545 57.2687224669603 71.4285714285714 33.7857142857143 17.8571428571429 62.5 187.5 324 54 297 283.5 54 26 70 70 84.7058823529412 91.7647058823529 40.6451612903226</v>
      </c>
    </row>
    <row r="51" spans="3:47">
      <c r="C51" s="8">
        <v>578.25</v>
      </c>
      <c r="D51">
        <v>55.5</v>
      </c>
      <c r="E51" s="5">
        <v>16.5</v>
      </c>
      <c r="F51">
        <v>18.75</v>
      </c>
      <c r="G51" s="9">
        <v>0</v>
      </c>
      <c r="I51" s="23"/>
      <c r="J51" t="s">
        <v>120</v>
      </c>
      <c r="K51" s="15">
        <v>16.5</v>
      </c>
      <c r="L51" s="15">
        <v>3.5714285714285716</v>
      </c>
      <c r="M51" s="15">
        <v>0</v>
      </c>
      <c r="N51" s="15">
        <v>78</v>
      </c>
      <c r="O51" s="15">
        <v>0</v>
      </c>
      <c r="P51" s="15">
        <v>86.4</v>
      </c>
      <c r="Q51" s="15"/>
      <c r="R51" s="15">
        <v>0</v>
      </c>
      <c r="S51" s="15">
        <v>0</v>
      </c>
      <c r="T51" s="15">
        <v>0</v>
      </c>
      <c r="U51" s="15">
        <v>1.6025641025641026</v>
      </c>
      <c r="V51" s="15">
        <v>3.0487804878048781</v>
      </c>
      <c r="W51" s="15">
        <v>0</v>
      </c>
      <c r="X51" s="15">
        <v>0.55555555555555558</v>
      </c>
      <c r="Y51" s="15">
        <v>4</v>
      </c>
      <c r="Z51" s="15">
        <v>0</v>
      </c>
      <c r="AA51" s="15"/>
      <c r="AB51" s="15">
        <v>0</v>
      </c>
      <c r="AC51" s="15">
        <v>71.428571428571431</v>
      </c>
      <c r="AD51" s="15">
        <v>33.785714285714285</v>
      </c>
      <c r="AE51" s="15">
        <v>89.285714285714292</v>
      </c>
      <c r="AF51" s="15">
        <v>50</v>
      </c>
      <c r="AG51" s="15">
        <v>150</v>
      </c>
      <c r="AH51" s="15"/>
      <c r="AI51" s="15">
        <v>72</v>
      </c>
      <c r="AJ51" s="15">
        <v>6</v>
      </c>
      <c r="AK51" s="15">
        <v>66</v>
      </c>
      <c r="AL51" s="15">
        <v>63</v>
      </c>
      <c r="AM51" s="15">
        <v>12</v>
      </c>
      <c r="AN51" s="15">
        <v>6</v>
      </c>
      <c r="AO51" s="15">
        <v>27.5</v>
      </c>
      <c r="AP51" s="15">
        <v>27.5</v>
      </c>
      <c r="AQ51" s="15">
        <v>38.823529411764703</v>
      </c>
      <c r="AR51" s="15">
        <v>24.705882352941174</v>
      </c>
      <c r="AS51" s="16">
        <v>16.451612903225808</v>
      </c>
      <c r="AU51" t="str">
        <f>_xlfn.TEXTJOIN(" ", TRUE,K51:AS51)</f>
        <v>16.5 3.57142857142857 0 78 0 86.4 0 0 0 1.6025641025641 3.04878048780488 0 0.555555555555556 4 0 0 71.4285714285714 33.7857142857143 89.2857142857143 50 150 72 6 66 63 12 6 27.5 27.5 38.8235294117647 24.7058823529412 16.4516129032258</v>
      </c>
    </row>
    <row r="52" spans="3:47">
      <c r="C52" s="8">
        <v>142.85714285714286</v>
      </c>
      <c r="D52">
        <v>25</v>
      </c>
      <c r="E52">
        <v>3.5714285714285716</v>
      </c>
      <c r="F52">
        <v>8.5714285714285712</v>
      </c>
      <c r="G52" s="9">
        <v>0</v>
      </c>
      <c r="I52" s="23"/>
      <c r="J52" t="s">
        <v>12</v>
      </c>
      <c r="K52" s="15">
        <v>18.75</v>
      </c>
      <c r="L52" s="15">
        <v>8.5714285714285712</v>
      </c>
      <c r="M52" s="15">
        <v>0</v>
      </c>
      <c r="N52" s="15">
        <v>7.1999999999999993</v>
      </c>
      <c r="O52" s="15">
        <v>6</v>
      </c>
      <c r="P52" s="15">
        <v>0</v>
      </c>
      <c r="Q52" s="15"/>
      <c r="R52" s="15">
        <v>4.7777777777777777</v>
      </c>
      <c r="S52" s="15">
        <v>4.7647058823529411</v>
      </c>
      <c r="T52" s="15">
        <v>16.346153846153847</v>
      </c>
      <c r="U52" s="15">
        <v>7.2115384615384617</v>
      </c>
      <c r="V52" s="15">
        <v>11.890243902439025</v>
      </c>
      <c r="W52" s="15">
        <v>12.5</v>
      </c>
      <c r="X52" s="15">
        <v>1.6111111111111112</v>
      </c>
      <c r="Y52" s="15">
        <v>14</v>
      </c>
      <c r="Z52" s="15">
        <v>1.4545454545454546</v>
      </c>
      <c r="AA52" s="15"/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/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6">
        <v>0</v>
      </c>
      <c r="AU52" t="str">
        <f>_xlfn.TEXTJOIN(" ", TRUE,K52:AS52)</f>
        <v>18.75 8.57142857142857 0 7.2 6 0 4.77777777777778 4.76470588235294 16.3461538461538 7.21153846153846 11.890243902439 12.5 1.61111111111111 14 1.45454545454545 0 0 0 0 0 0 0 0 0 0 0 0 0 0 0 0 0</v>
      </c>
    </row>
    <row r="53" spans="3:47">
      <c r="C53" s="8">
        <v>96</v>
      </c>
      <c r="D53">
        <v>60</v>
      </c>
      <c r="E53">
        <v>0</v>
      </c>
      <c r="F53">
        <v>0</v>
      </c>
      <c r="G53" s="9">
        <v>0</v>
      </c>
      <c r="I53" s="24"/>
      <c r="J53" s="11" t="s">
        <v>121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v>4914</v>
      </c>
      <c r="S53" s="20">
        <v>2311.411764705882</v>
      </c>
      <c r="T53" s="20">
        <v>36830.769230769234</v>
      </c>
      <c r="U53" s="20">
        <v>1040.8653846153845</v>
      </c>
      <c r="V53" s="20">
        <v>330.1829268292683</v>
      </c>
      <c r="W53" s="20">
        <v>22.5</v>
      </c>
      <c r="X53" s="20">
        <v>161.66666666666666</v>
      </c>
      <c r="Y53" s="20">
        <v>237.6</v>
      </c>
      <c r="Z53" s="20">
        <v>318.5454545454545</v>
      </c>
      <c r="AA53" s="20"/>
      <c r="AB53" s="20">
        <v>21.145374449339204</v>
      </c>
      <c r="AC53" s="20">
        <v>822.32142857142856</v>
      </c>
      <c r="AD53" s="20">
        <v>388.9580357142857</v>
      </c>
      <c r="AE53" s="20">
        <v>1084.8214285714287</v>
      </c>
      <c r="AF53" s="20">
        <v>1046.25</v>
      </c>
      <c r="AG53" s="20">
        <v>3138.75</v>
      </c>
      <c r="AH53" s="20"/>
      <c r="AI53" s="20">
        <v>3.5999999999999996</v>
      </c>
      <c r="AJ53" s="20">
        <v>0.6</v>
      </c>
      <c r="AK53" s="20">
        <v>3.3</v>
      </c>
      <c r="AL53" s="20">
        <v>3.15</v>
      </c>
      <c r="AM53" s="20">
        <v>0.6</v>
      </c>
      <c r="AN53" s="20">
        <v>0.6</v>
      </c>
      <c r="AO53" s="20">
        <v>2.25</v>
      </c>
      <c r="AP53" s="20">
        <v>2.25</v>
      </c>
      <c r="AQ53" s="20">
        <v>8.4705882352941178</v>
      </c>
      <c r="AR53" s="20">
        <v>7.4117647058823515</v>
      </c>
      <c r="AS53" s="21">
        <v>94.064516129032256</v>
      </c>
      <c r="AU53" t="str">
        <f>_xlfn.TEXTJOIN(" ", TRUE,K53:AS53)</f>
        <v>0 0 0 0 0 0 4914 2311.41176470588 36830.7692307692 1040.86538461538 330.182926829268 22.5 161.666666666667 237.6 318.545454545455 21.1453744493392 822.321428571429 388.958035714286 1084.82142857143 1046.25 3138.75 3.6 0.6 3.3 3.15 0.6 0.6 2.25 2.25 8.47058823529412 7.41176470588235 94.0645161290323</v>
      </c>
    </row>
    <row r="54" spans="3:47">
      <c r="C54" s="8">
        <v>181.2</v>
      </c>
      <c r="D54">
        <v>29.400000000000002</v>
      </c>
      <c r="E54">
        <v>78</v>
      </c>
      <c r="F54">
        <v>7.1999999999999993</v>
      </c>
      <c r="G54" s="9">
        <v>0</v>
      </c>
    </row>
    <row r="55" spans="3:47">
      <c r="C55" s="8">
        <v>160</v>
      </c>
      <c r="D55">
        <v>30</v>
      </c>
      <c r="E55">
        <v>0</v>
      </c>
      <c r="F55">
        <v>6</v>
      </c>
      <c r="G55" s="9">
        <v>0</v>
      </c>
    </row>
    <row r="56" spans="3:47">
      <c r="C56" s="8">
        <v>226.8</v>
      </c>
      <c r="D56">
        <v>46.800000000000004</v>
      </c>
      <c r="E56">
        <v>86.4</v>
      </c>
      <c r="F56">
        <v>0</v>
      </c>
      <c r="G56" s="9">
        <v>0</v>
      </c>
    </row>
    <row r="57" spans="3:47">
      <c r="C57" s="8"/>
      <c r="E57"/>
      <c r="G57" s="9"/>
    </row>
    <row r="58" spans="3:47">
      <c r="C58" s="8">
        <v>0</v>
      </c>
      <c r="D58">
        <v>5.5555555555555554</v>
      </c>
      <c r="E58">
        <v>0</v>
      </c>
      <c r="F58">
        <v>4.7777777777777777</v>
      </c>
      <c r="G58" s="9">
        <v>4914</v>
      </c>
    </row>
    <row r="59" spans="3:47">
      <c r="C59" s="8">
        <v>0</v>
      </c>
      <c r="D59">
        <v>5.2941176470588234</v>
      </c>
      <c r="E59">
        <v>0</v>
      </c>
      <c r="F59">
        <v>4.7647058823529411</v>
      </c>
      <c r="G59" s="9">
        <v>2311.411764705882</v>
      </c>
    </row>
    <row r="60" spans="3:47">
      <c r="C60" s="8">
        <v>0</v>
      </c>
      <c r="D60">
        <v>6.4102564102564106</v>
      </c>
      <c r="E60">
        <v>0</v>
      </c>
      <c r="F60">
        <v>16.346153846153847</v>
      </c>
      <c r="G60" s="9">
        <v>36830.769230769234</v>
      </c>
    </row>
    <row r="61" spans="3:47">
      <c r="C61" s="8">
        <v>0</v>
      </c>
      <c r="D61">
        <v>8.0128205128205128</v>
      </c>
      <c r="E61">
        <v>1.6025641025641026</v>
      </c>
      <c r="F61">
        <v>7.2115384615384617</v>
      </c>
      <c r="G61" s="9">
        <v>1040.8653846153845</v>
      </c>
    </row>
    <row r="62" spans="3:47">
      <c r="C62" s="8">
        <v>97.560975609756099</v>
      </c>
      <c r="D62">
        <v>15.24390243902439</v>
      </c>
      <c r="E62">
        <v>3.0487804878048781</v>
      </c>
      <c r="F62">
        <v>11.890243902439025</v>
      </c>
      <c r="G62" s="9">
        <v>330.1829268292683</v>
      </c>
    </row>
    <row r="63" spans="3:47">
      <c r="C63" s="8">
        <v>16.666666666666668</v>
      </c>
      <c r="D63">
        <v>8.3333333333333339</v>
      </c>
      <c r="E63">
        <v>0</v>
      </c>
      <c r="F63">
        <v>12.5</v>
      </c>
      <c r="G63" s="9">
        <v>22.5</v>
      </c>
    </row>
    <row r="64" spans="3:47">
      <c r="C64" s="8">
        <v>4.4444444444444446</v>
      </c>
      <c r="D64">
        <v>2.7777777777777777</v>
      </c>
      <c r="E64">
        <v>0.55555555555555558</v>
      </c>
      <c r="F64">
        <v>1.6111111111111112</v>
      </c>
      <c r="G64" s="9">
        <v>161.66666666666666</v>
      </c>
    </row>
    <row r="65" spans="3:7">
      <c r="C65" s="8">
        <v>28</v>
      </c>
      <c r="D65">
        <v>8</v>
      </c>
      <c r="E65">
        <v>4</v>
      </c>
      <c r="F65">
        <v>14</v>
      </c>
      <c r="G65" s="9">
        <v>237.6</v>
      </c>
    </row>
    <row r="66" spans="3:7">
      <c r="C66" s="8">
        <v>0</v>
      </c>
      <c r="D66">
        <v>14.545454545454545</v>
      </c>
      <c r="E66">
        <v>0</v>
      </c>
      <c r="F66">
        <v>1.4545454545454546</v>
      </c>
      <c r="G66" s="9">
        <v>318.5454545454545</v>
      </c>
    </row>
    <row r="67" spans="3:7">
      <c r="C67" s="8"/>
      <c r="E67"/>
      <c r="G67" s="9"/>
    </row>
    <row r="68" spans="3:7">
      <c r="C68" s="8">
        <v>74.889867841409682</v>
      </c>
      <c r="D68">
        <v>57.268722466960348</v>
      </c>
      <c r="E68">
        <v>0</v>
      </c>
      <c r="F68">
        <v>0</v>
      </c>
      <c r="G68" s="9">
        <v>21.145374449339204</v>
      </c>
    </row>
    <row r="69" spans="3:7">
      <c r="C69" s="8">
        <v>98.214285714285722</v>
      </c>
      <c r="D69">
        <v>71.428571428571431</v>
      </c>
      <c r="E69">
        <v>71.428571428571431</v>
      </c>
      <c r="F69">
        <v>0</v>
      </c>
      <c r="G69" s="9">
        <v>822.32142857142856</v>
      </c>
    </row>
    <row r="70" spans="3:7">
      <c r="C70" s="8">
        <v>46.455357142857139</v>
      </c>
      <c r="D70">
        <v>33.785714285714285</v>
      </c>
      <c r="E70">
        <v>33.785714285714285</v>
      </c>
      <c r="F70">
        <v>0</v>
      </c>
      <c r="G70" s="9">
        <v>388.9580357142857</v>
      </c>
    </row>
    <row r="71" spans="3:7">
      <c r="C71" s="8">
        <v>8.9285714285714288</v>
      </c>
      <c r="D71">
        <v>17.857142857142858</v>
      </c>
      <c r="E71">
        <v>89.285714285714292</v>
      </c>
      <c r="F71">
        <v>0</v>
      </c>
      <c r="G71" s="9">
        <v>1084.8214285714287</v>
      </c>
    </row>
    <row r="72" spans="3:7">
      <c r="C72" s="8">
        <v>12.5</v>
      </c>
      <c r="D72">
        <v>62.5</v>
      </c>
      <c r="E72">
        <v>50</v>
      </c>
      <c r="F72">
        <v>0</v>
      </c>
      <c r="G72" s="9">
        <v>1046.25</v>
      </c>
    </row>
    <row r="73" spans="3:7">
      <c r="C73" s="8">
        <v>37.5</v>
      </c>
      <c r="D73">
        <v>187.5</v>
      </c>
      <c r="E73">
        <v>150</v>
      </c>
      <c r="F73">
        <v>0</v>
      </c>
      <c r="G73" s="9">
        <v>3138.75</v>
      </c>
    </row>
    <row r="74" spans="3:7">
      <c r="C74" s="8"/>
      <c r="E74"/>
      <c r="G74" s="9"/>
    </row>
    <row r="75" spans="3:7">
      <c r="C75" s="8">
        <v>0</v>
      </c>
      <c r="D75">
        <v>324</v>
      </c>
      <c r="E75">
        <v>72</v>
      </c>
      <c r="F75">
        <v>0</v>
      </c>
      <c r="G75" s="9">
        <v>3.5999999999999996</v>
      </c>
    </row>
    <row r="76" spans="3:7">
      <c r="C76" s="8">
        <v>0</v>
      </c>
      <c r="D76">
        <v>54</v>
      </c>
      <c r="E76">
        <v>6</v>
      </c>
      <c r="F76">
        <v>0</v>
      </c>
      <c r="G76" s="9">
        <v>0.6</v>
      </c>
    </row>
    <row r="77" spans="3:7">
      <c r="C77" s="8">
        <v>0</v>
      </c>
      <c r="D77">
        <v>297</v>
      </c>
      <c r="E77">
        <v>66</v>
      </c>
      <c r="F77">
        <v>0</v>
      </c>
      <c r="G77" s="9">
        <v>3.3</v>
      </c>
    </row>
    <row r="78" spans="3:7">
      <c r="C78" s="8">
        <v>0</v>
      </c>
      <c r="D78">
        <v>283.5</v>
      </c>
      <c r="E78">
        <v>63</v>
      </c>
      <c r="F78">
        <v>0</v>
      </c>
      <c r="G78" s="9">
        <v>3.15</v>
      </c>
    </row>
    <row r="79" spans="3:7">
      <c r="C79" s="8">
        <v>0</v>
      </c>
      <c r="D79">
        <v>54</v>
      </c>
      <c r="E79">
        <v>12</v>
      </c>
      <c r="F79">
        <v>0</v>
      </c>
      <c r="G79" s="9">
        <v>0.6</v>
      </c>
    </row>
    <row r="80" spans="3:7">
      <c r="C80" s="8">
        <v>0</v>
      </c>
      <c r="D80">
        <v>26</v>
      </c>
      <c r="E80">
        <v>6</v>
      </c>
      <c r="F80">
        <v>0</v>
      </c>
      <c r="G80" s="9">
        <v>0.6</v>
      </c>
    </row>
    <row r="81" spans="3:7">
      <c r="C81" s="8">
        <v>0</v>
      </c>
      <c r="D81">
        <v>70</v>
      </c>
      <c r="E81">
        <v>27.5</v>
      </c>
      <c r="F81">
        <v>0</v>
      </c>
      <c r="G81" s="9">
        <v>2.25</v>
      </c>
    </row>
    <row r="82" spans="3:7">
      <c r="C82" s="8">
        <v>0</v>
      </c>
      <c r="D82">
        <v>70</v>
      </c>
      <c r="E82">
        <v>27.5</v>
      </c>
      <c r="F82">
        <v>0</v>
      </c>
      <c r="G82" s="9">
        <v>2.25</v>
      </c>
    </row>
    <row r="83" spans="3:7">
      <c r="C83" s="8">
        <v>0</v>
      </c>
      <c r="D83">
        <v>84.705882352941174</v>
      </c>
      <c r="E83">
        <v>38.823529411764703</v>
      </c>
      <c r="F83">
        <v>0</v>
      </c>
      <c r="G83" s="9">
        <v>8.4705882352941178</v>
      </c>
    </row>
    <row r="84" spans="3:7">
      <c r="C84" s="8">
        <v>0</v>
      </c>
      <c r="D84">
        <v>91.764705882352942</v>
      </c>
      <c r="E84">
        <v>24.705882352941174</v>
      </c>
      <c r="F84">
        <v>0</v>
      </c>
      <c r="G84" s="9">
        <v>7.4117647058823515</v>
      </c>
    </row>
    <row r="85" spans="3:7">
      <c r="C85" s="10">
        <v>0</v>
      </c>
      <c r="D85" s="11">
        <v>40.645161290322584</v>
      </c>
      <c r="E85" s="11">
        <v>16.451612903225808</v>
      </c>
      <c r="F85" s="11">
        <v>0</v>
      </c>
      <c r="G85" s="12">
        <v>94.064516129032256</v>
      </c>
    </row>
    <row r="86" spans="3:7">
      <c r="E86"/>
    </row>
    <row r="87" spans="3:7">
      <c r="E87"/>
    </row>
    <row r="88" spans="3:7">
      <c r="E88"/>
    </row>
    <row r="89" spans="3:7">
      <c r="E89"/>
    </row>
    <row r="90" spans="3:7">
      <c r="E90"/>
    </row>
    <row r="91" spans="3:7">
      <c r="E91"/>
    </row>
  </sheetData>
  <mergeCells count="7">
    <mergeCell ref="F1:K1"/>
    <mergeCell ref="L1:P1"/>
    <mergeCell ref="A47:C47"/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 - Valerie Chua Yu Jia</cp:lastModifiedBy>
  <cp:revision/>
  <dcterms:created xsi:type="dcterms:W3CDTF">2025-02-20T07:02:39Z</dcterms:created>
  <dcterms:modified xsi:type="dcterms:W3CDTF">2025-04-21T14:15:21Z</dcterms:modified>
  <cp:category/>
  <cp:contentStatus/>
</cp:coreProperties>
</file>